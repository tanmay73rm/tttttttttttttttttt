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p\Desktop\"/>
    </mc:Choice>
  </mc:AlternateContent>
  <xr:revisionPtr revIDLastSave="0" documentId="8_{E7B97103-4B78-43D2-9D4B-AF1992D24CA0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2" i="19" l="1"/>
  <c r="C24" i="20"/>
  <c r="C23" i="20"/>
  <c r="C25" i="20"/>
  <c r="C26" i="20"/>
  <c r="C27" i="20"/>
  <c r="C28" i="20"/>
  <c r="C29" i="20"/>
  <c r="C30" i="20"/>
  <c r="C31" i="20"/>
  <c r="C32" i="20"/>
  <c r="C33" i="20"/>
  <c r="C34" i="20"/>
  <c r="C35" i="20"/>
  <c r="B30" i="18"/>
  <c r="F30" i="18"/>
  <c r="E30" i="18"/>
  <c r="D30" i="18"/>
  <c r="C30" i="18"/>
  <c r="F29" i="18"/>
  <c r="F28" i="18"/>
  <c r="E29" i="18"/>
  <c r="E28" i="18"/>
  <c r="D29" i="18"/>
  <c r="D28" i="18"/>
  <c r="C29" i="18"/>
  <c r="C28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21" i="18"/>
  <c r="B22" i="18"/>
  <c r="B23" i="18"/>
  <c r="B24" i="18"/>
  <c r="B25" i="18"/>
  <c r="B26" i="18"/>
  <c r="B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6" i="18"/>
  <c r="D13" i="15"/>
</calcChain>
</file>

<file path=xl/sharedStrings.xml><?xml version="1.0" encoding="utf-8"?>
<sst xmlns="http://schemas.openxmlformats.org/spreadsheetml/2006/main" count="508" uniqueCount="185">
  <si>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</si>
  <si>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</si>
  <si>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</si>
  <si>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</si>
  <si>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</si>
  <si>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</si>
  <si>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</si>
  <si>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</si>
  <si>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</si>
  <si>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</si>
  <si>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</si>
  <si>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</si>
  <si>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</si>
  <si>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</si>
  <si>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</si>
  <si>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</si>
  <si>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</si>
  <si>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</si>
  <si>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</si>
  <si>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</si>
  <si>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</si>
  <si>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</si>
  <si>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</si>
  <si>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</si>
  <si>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</si>
  <si>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</si>
  <si>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</si>
  <si>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</si>
  <si>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</si>
  <si>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</si>
  <si>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</si>
  <si>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</si>
  <si>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</si>
  <si>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</si>
  <si>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</si>
  <si>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</si>
  <si>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</si>
  <si>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</si>
  <si>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</si>
  <si>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</si>
  <si>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</si>
  <si>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</si>
  <si>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</si>
  <si>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</si>
  <si>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</si>
  <si>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</si>
  <si>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</si>
  <si>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</si>
  <si>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</si>
  <si>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</si>
  <si>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</si>
  <si>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</si>
  <si>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</si>
  <si>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</si>
  <si>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</si>
  <si>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</si>
  <si>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</si>
  <si>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</si>
  <si>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</si>
  <si>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</si>
  <si>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</si>
  <si>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</si>
  <si>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</si>
  <si>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</si>
  <si>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</si>
  <si>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</si>
  <si>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</si>
  <si>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</si>
  <si>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</si>
  <si>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</si>
  <si>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</si>
  <si>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</si>
  <si>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</si>
  <si>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</si>
  <si>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</si>
  <si>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</si>
  <si>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</si>
  <si>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</si>
  <si>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</si>
  <si>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</si>
  <si>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</si>
  <si>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</si>
  <si>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</si>
  <si>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</si>
  <si>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</si>
  <si>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</si>
  <si>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</si>
  <si>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</si>
  <si>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</si>
  <si>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</si>
  <si>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</si>
  <si>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</si>
  <si>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</si>
  <si>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</si>
  <si>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</si>
  <si>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</si>
  <si>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</si>
  <si>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</si>
  <si>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</si>
  <si>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</si>
  <si>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</si>
  <si>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</si>
  <si>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</si>
  <si>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</si>
  <si>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</si>
  <si>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</si>
  <si>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</si>
  <si>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</si>
  <si>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</si>
  <si>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</si>
  <si>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</si>
  <si>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</si>
  <si>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</si>
  <si>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</si>
  <si>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</si>
  <si>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</si>
  <si>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</si>
  <si>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</si>
  <si>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</si>
  <si>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</si>
  <si>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</si>
  <si>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</si>
  <si>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</si>
  <si>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</si>
  <si>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</si>
  <si>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</si>
  <si>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</si>
  <si>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</si>
  <si>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</si>
  <si>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</si>
  <si>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</si>
  <si>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</si>
  <si>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</si>
  <si>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</si>
  <si>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</si>
  <si>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</si>
  <si>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</si>
  <si>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</si>
  <si>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</si>
  <si>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</si>
  <si>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</si>
  <si>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</si>
  <si>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</si>
  <si>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</si>
  <si>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</si>
  <si>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</si>
  <si>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</si>
  <si>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</si>
  <si>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</si>
  <si>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</si>
  <si>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</si>
  <si>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</si>
  <si>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</si>
  <si>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</si>
  <si>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</si>
  <si>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</si>
  <si>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</si>
  <si>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</si>
  <si>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</si>
  <si>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</si>
  <si>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</si>
  <si>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</si>
  <si>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</si>
  <si>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</si>
  <si>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</si>
  <si>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</si>
  <si>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</si>
  <si>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</si>
  <si>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</si>
  <si>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</si>
  <si>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</si>
  <si>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</si>
  <si>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</si>
  <si>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</si>
  <si>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</si>
  <si>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</si>
  <si>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Q2</t>
  </si>
  <si>
    <t>SUMIF(Dataset!H:H,"&gt;20")</t>
  </si>
  <si>
    <t xml:space="preserve">Select the all the cell, after selecting all cells (A16:A54) go to data tab and click text to columns and after that choose deliminated option, </t>
  </si>
  <si>
    <t>and check Other and enter a dash (-) as the delimiter.After that Click Finish to split the data into adjacent columns.</t>
  </si>
  <si>
    <t>USE OF DELIMETER FUNCTION</t>
  </si>
  <si>
    <r>
      <t>(</t>
    </r>
    <r>
      <rPr>
        <b/>
        <sz val="11"/>
        <color rgb="FF000000"/>
        <rFont val="Calibri"/>
        <family val="2"/>
        <scheme val="minor"/>
      </rPr>
      <t>DATA TAB-----&gt; SELECT TEXT TO COLUMNS -----&gt; CHOOSE DELIMITED -----&gt; CHOOSE OTHER AND (-)----&gt;CLICK FINISH)</t>
    </r>
  </si>
  <si>
    <t>All 20 values must be substituted with the value '20'</t>
  </si>
  <si>
    <t>SUM()</t>
  </si>
  <si>
    <t>Firstly I am press clt+H tab open the replace window, all N/A values replace with 20 and then click to replace to all and close the replace window after closing window write the function sum add range sales column.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</si>
</sst>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hh:mm:ss;@"/>
    <numFmt numFmtId="165" formatCode="yyyy\-mm\-dd;@"/>
    <numFmt numFmtId="166" formatCode="dd/mm/yyyy"/>
    <numFmt numFmtId="167" formatCode="yyyy\-mm\-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66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7" fontId="7" fillId="0" borderId="0" xfId="0" applyNumberFormat="1" applyFont="1"/>
    <xf numFmtId="167" fontId="3" fillId="0" borderId="0" xfId="0" applyNumberFormat="1" applyFont="1"/>
    <xf numFmtId="0" fontId="3" fillId="6" borderId="0" xfId="0" applyFont="1" applyFill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8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A3" sqref="A3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40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175</v>
      </c>
      <c r="C4" s="1"/>
    </row>
    <row r="5" spans="1:3" x14ac:dyDescent="0.3">
      <c r="A5" s="2" t="s">
        <v>151</v>
      </c>
    </row>
    <row r="8" spans="1:3" x14ac:dyDescent="0.3">
      <c r="A8" s="2" t="s">
        <v>171</v>
      </c>
    </row>
    <row r="9" spans="1:3" x14ac:dyDescent="0.3">
      <c r="A9" s="37" t="s">
        <v>169</v>
      </c>
      <c r="B9" s="26" t="s">
        <v>167</v>
      </c>
    </row>
    <row r="10" spans="1:3" x14ac:dyDescent="0.3">
      <c r="A10" s="36" t="s">
        <v>170</v>
      </c>
      <c r="B10" s="38">
        <v>25</v>
      </c>
    </row>
    <row r="11" spans="1:3" x14ac:dyDescent="0.3">
      <c r="A11" s="36" t="s">
        <v>55</v>
      </c>
      <c r="B11" s="38">
        <v>30</v>
      </c>
    </row>
    <row r="12" spans="1:3" x14ac:dyDescent="0.3">
      <c r="A12" s="36" t="s">
        <v>56</v>
      </c>
      <c r="B12" s="38">
        <v>10</v>
      </c>
    </row>
    <row r="13" spans="1:3" x14ac:dyDescent="0.3">
      <c r="A13" s="36" t="s">
        <v>85</v>
      </c>
      <c r="B13" s="38">
        <v>20</v>
      </c>
    </row>
    <row r="14" spans="1:3" x14ac:dyDescent="0.3">
      <c r="A14" s="36" t="s">
        <v>98</v>
      </c>
      <c r="B14" s="38">
        <v>40</v>
      </c>
    </row>
    <row r="15" spans="1:3" x14ac:dyDescent="0.3">
      <c r="A15" s="39" t="s">
        <v>168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M1" zoomScaleNormal="100" workbookViewId="0">
      <selection activeCell="R21" activeCellId="1" sqref="H18 R21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8" t="s">
        <v>64</v>
      </c>
      <c r="B1" s="28" t="s">
        <v>43</v>
      </c>
      <c r="C1" s="28" t="s">
        <v>0</v>
      </c>
      <c r="D1" s="29" t="s">
        <v>1</v>
      </c>
      <c r="E1" s="28" t="s">
        <v>2</v>
      </c>
      <c r="F1" s="29" t="s">
        <v>3</v>
      </c>
      <c r="G1" s="30" t="s">
        <v>79</v>
      </c>
      <c r="H1" s="30" t="s">
        <v>65</v>
      </c>
      <c r="I1" s="30" t="s">
        <v>66</v>
      </c>
      <c r="J1" s="31" t="s">
        <v>67</v>
      </c>
      <c r="K1" s="31" t="s">
        <v>68</v>
      </c>
      <c r="L1" s="31" t="s">
        <v>69</v>
      </c>
      <c r="M1" s="30" t="s">
        <v>70</v>
      </c>
      <c r="N1" s="30" t="s">
        <v>71</v>
      </c>
      <c r="O1" s="30" t="s">
        <v>72</v>
      </c>
      <c r="P1" s="31" t="s">
        <v>73</v>
      </c>
      <c r="Q1" s="31" t="s">
        <v>74</v>
      </c>
      <c r="R1" s="31" t="s">
        <v>75</v>
      </c>
      <c r="S1" s="30" t="s">
        <v>80</v>
      </c>
      <c r="T1" s="30" t="s">
        <v>76</v>
      </c>
      <c r="U1" s="31" t="s">
        <v>81</v>
      </c>
      <c r="V1" s="31" t="s">
        <v>77</v>
      </c>
      <c r="W1" s="31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7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7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7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7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7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7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7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7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7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7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7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7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7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7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7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7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7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7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7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7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7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7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7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7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7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7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7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7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7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7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7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7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7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7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7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7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7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7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7">
        <v>45162</v>
      </c>
    </row>
  </sheetData>
  <conditionalFormatting sqref="A1:A1048576">
    <cfRule type="duplicateValues" dxfId="5" priority="4"/>
  </conditionalFormatting>
  <conditionalFormatting sqref="B1:B1048576">
    <cfRule type="duplicateValues" dxfId="4" priority="3"/>
  </conditionalFormatting>
  <conditionalFormatting sqref="A1:X1 A2:C40 E2:X40">
    <cfRule type="cellIs" dxfId="3" priority="1" operator="equal">
      <formula>0</formula>
    </cfRule>
    <cfRule type="cellIs" dxfId="2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AB40"/>
  <sheetViews>
    <sheetView topLeftCell="B1" zoomScaleNormal="100" workbookViewId="0">
      <pane ySplit="1" topLeftCell="A2" activePane="bottomLeft" state="frozen"/>
      <selection activeCell="K1" sqref="K1"/>
      <selection pane="bottomLeft" activeCell="E18" sqref="E18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27" width="11" style="1"/>
    <col min="28" max="28" width="11" style="47"/>
    <col min="29" max="16384" width="11" style="1"/>
  </cols>
  <sheetData>
    <row r="1" spans="1:28" x14ac:dyDescent="0.3">
      <c r="A1" s="4" t="s">
        <v>47</v>
      </c>
      <c r="B1" s="4" t="s">
        <v>48</v>
      </c>
      <c r="C1" s="4" t="s">
        <v>44</v>
      </c>
      <c r="E1" s="4" t="s">
        <v>174</v>
      </c>
      <c r="G1" s="28" t="s">
        <v>0</v>
      </c>
      <c r="H1" s="29" t="s">
        <v>1</v>
      </c>
      <c r="I1" s="28" t="s">
        <v>2</v>
      </c>
      <c r="J1" s="29" t="s">
        <v>3</v>
      </c>
      <c r="K1" s="30" t="s">
        <v>79</v>
      </c>
      <c r="L1" s="30" t="s">
        <v>65</v>
      </c>
      <c r="M1" s="30" t="s">
        <v>66</v>
      </c>
      <c r="N1" s="31" t="s">
        <v>67</v>
      </c>
      <c r="O1" s="31" t="s">
        <v>68</v>
      </c>
      <c r="P1" s="31" t="s">
        <v>69</v>
      </c>
      <c r="Q1" s="30" t="s">
        <v>70</v>
      </c>
      <c r="R1" s="30" t="s">
        <v>71</v>
      </c>
      <c r="S1" s="30" t="s">
        <v>72</v>
      </c>
      <c r="T1" s="31" t="s">
        <v>73</v>
      </c>
      <c r="U1" s="31" t="s">
        <v>74</v>
      </c>
      <c r="V1" s="31" t="s">
        <v>75</v>
      </c>
      <c r="W1" s="30" t="s">
        <v>80</v>
      </c>
      <c r="X1" s="30" t="s">
        <v>76</v>
      </c>
      <c r="Y1" s="31" t="s">
        <v>81</v>
      </c>
      <c r="Z1" s="31" t="s">
        <v>77</v>
      </c>
      <c r="AA1" s="31" t="s">
        <v>78</v>
      </c>
      <c r="AB1" s="46" t="s">
        <v>105</v>
      </c>
    </row>
    <row r="2" spans="1:28" x14ac:dyDescent="0.3">
      <c r="A2" s="2"/>
      <c r="B2" s="5" t="s">
        <v>159</v>
      </c>
      <c r="C2" s="2"/>
      <c r="G2" s="1" t="s">
        <v>5</v>
      </c>
      <c r="H2" s="24">
        <v>0</v>
      </c>
      <c r="I2" s="1" t="s">
        <v>6</v>
      </c>
      <c r="J2" s="24">
        <v>0.99998842592592596</v>
      </c>
      <c r="K2" s="1">
        <v>2.7</v>
      </c>
      <c r="L2" s="1">
        <v>3.6</v>
      </c>
      <c r="M2" s="1">
        <v>4.2</v>
      </c>
      <c r="N2" s="1">
        <v>-1</v>
      </c>
      <c r="O2" s="1">
        <v>-1</v>
      </c>
      <c r="P2" s="1">
        <v>-1</v>
      </c>
      <c r="Q2" s="1">
        <v>5.3</v>
      </c>
      <c r="R2" s="1">
        <v>7.6</v>
      </c>
      <c r="S2" s="1">
        <v>8.9</v>
      </c>
      <c r="T2" s="1">
        <v>2.7</v>
      </c>
      <c r="U2" s="1">
        <v>3.6</v>
      </c>
      <c r="V2" s="1">
        <v>4.2</v>
      </c>
      <c r="W2" s="1">
        <v>7.6</v>
      </c>
      <c r="X2" s="1">
        <v>8.9</v>
      </c>
      <c r="Y2" s="1">
        <v>3.6</v>
      </c>
      <c r="Z2" s="1">
        <v>4.2</v>
      </c>
      <c r="AA2" s="1">
        <v>4.2</v>
      </c>
      <c r="AB2" s="47">
        <v>45051</v>
      </c>
    </row>
    <row r="3" spans="1:28" x14ac:dyDescent="0.3">
      <c r="A3" s="6">
        <v>1</v>
      </c>
      <c r="B3" s="2" t="s">
        <v>107</v>
      </c>
      <c r="C3" s="2" t="s">
        <v>45</v>
      </c>
      <c r="E3" s="1">
        <v>5</v>
      </c>
      <c r="G3" s="1" t="s">
        <v>5</v>
      </c>
      <c r="H3" s="24">
        <v>0</v>
      </c>
      <c r="I3" s="1" t="s">
        <v>6</v>
      </c>
      <c r="J3" s="24">
        <v>0.99998842592592596</v>
      </c>
      <c r="K3" s="1">
        <v>2.7</v>
      </c>
      <c r="L3" s="1">
        <v>3.6</v>
      </c>
      <c r="M3" s="1">
        <v>4.2</v>
      </c>
      <c r="N3" s="1">
        <v>-1</v>
      </c>
      <c r="O3" s="1">
        <v>-1</v>
      </c>
      <c r="P3" s="1">
        <v>-1</v>
      </c>
      <c r="Q3" s="1">
        <v>5.3</v>
      </c>
      <c r="R3" s="1">
        <v>7.6</v>
      </c>
      <c r="S3" s="1">
        <v>8.9</v>
      </c>
      <c r="T3" s="1">
        <v>2.7</v>
      </c>
      <c r="U3" s="1">
        <v>3.6</v>
      </c>
      <c r="V3" s="1">
        <v>4.2</v>
      </c>
      <c r="W3" s="1">
        <v>7.6</v>
      </c>
      <c r="X3" s="1">
        <v>8.9</v>
      </c>
      <c r="Y3" s="1">
        <v>3.6</v>
      </c>
      <c r="Z3" s="1">
        <v>4.2</v>
      </c>
      <c r="AA3" s="1">
        <v>4.2</v>
      </c>
      <c r="AB3" s="47">
        <v>45048</v>
      </c>
    </row>
    <row r="4" spans="1:28" x14ac:dyDescent="0.3">
      <c r="A4" s="6">
        <v>2</v>
      </c>
      <c r="B4" s="2" t="s">
        <v>46</v>
      </c>
      <c r="C4" s="2"/>
      <c r="E4" s="1">
        <v>5</v>
      </c>
      <c r="G4" s="1" t="s">
        <v>5</v>
      </c>
      <c r="H4" s="24">
        <v>0</v>
      </c>
      <c r="I4" s="1" t="s">
        <v>6</v>
      </c>
      <c r="J4" s="24">
        <v>0.99998842592592596</v>
      </c>
      <c r="K4" s="1">
        <v>3.6</v>
      </c>
      <c r="L4" s="1">
        <v>5.4</v>
      </c>
      <c r="M4" s="1">
        <v>5.8</v>
      </c>
      <c r="N4" s="1">
        <v>-1</v>
      </c>
      <c r="O4" s="1">
        <v>-1</v>
      </c>
      <c r="P4" s="1">
        <v>-1</v>
      </c>
      <c r="Q4" s="1">
        <v>7.6</v>
      </c>
      <c r="R4" s="1">
        <v>11.1</v>
      </c>
      <c r="S4" s="1">
        <v>12.2</v>
      </c>
      <c r="T4" s="1">
        <v>3.6</v>
      </c>
      <c r="U4" s="1">
        <v>5.4</v>
      </c>
      <c r="V4" s="1">
        <v>5.8</v>
      </c>
      <c r="W4" s="1">
        <v>11.1</v>
      </c>
      <c r="X4" s="1">
        <v>12.2</v>
      </c>
      <c r="Y4" s="1">
        <v>5.4</v>
      </c>
      <c r="Z4" s="1">
        <v>5.8</v>
      </c>
      <c r="AA4" s="1">
        <v>5.8</v>
      </c>
      <c r="AB4" s="47">
        <v>45055</v>
      </c>
    </row>
    <row r="5" spans="1:28" x14ac:dyDescent="0.3">
      <c r="A5" s="6">
        <v>3</v>
      </c>
      <c r="B5" s="2" t="s">
        <v>104</v>
      </c>
      <c r="C5" s="35" t="s">
        <v>177</v>
      </c>
      <c r="E5" s="1">
        <v>10</v>
      </c>
      <c r="G5" s="1" t="s">
        <v>5</v>
      </c>
      <c r="H5" s="24">
        <v>0</v>
      </c>
      <c r="I5" s="1" t="s">
        <v>6</v>
      </c>
      <c r="J5" s="24">
        <v>0.99998842592592596</v>
      </c>
      <c r="K5" s="1">
        <v>4.9000000000000004</v>
      </c>
      <c r="L5" s="1">
        <v>6.6</v>
      </c>
      <c r="M5" s="1">
        <v>8.1</v>
      </c>
      <c r="N5" s="1">
        <v>-1</v>
      </c>
      <c r="O5" s="1">
        <v>-1</v>
      </c>
      <c r="P5" s="1">
        <v>-1</v>
      </c>
      <c r="Q5" s="1">
        <v>10</v>
      </c>
      <c r="R5" s="1">
        <v>13.3</v>
      </c>
      <c r="S5" s="1">
        <v>17</v>
      </c>
      <c r="T5" s="1">
        <v>4.9000000000000004</v>
      </c>
      <c r="U5" s="1">
        <v>6.6</v>
      </c>
      <c r="V5" s="1">
        <v>8.1</v>
      </c>
      <c r="W5" s="1">
        <v>13.3</v>
      </c>
      <c r="X5" s="1">
        <v>17</v>
      </c>
      <c r="Y5" s="1">
        <v>6.6</v>
      </c>
      <c r="Z5" s="1">
        <v>8.1</v>
      </c>
      <c r="AA5" s="1">
        <v>8.1</v>
      </c>
      <c r="AB5" s="47">
        <v>45059</v>
      </c>
    </row>
    <row r="6" spans="1:28" x14ac:dyDescent="0.3">
      <c r="A6" s="6">
        <v>4</v>
      </c>
      <c r="B6" s="2" t="s">
        <v>106</v>
      </c>
      <c r="C6" s="2"/>
      <c r="E6" s="1">
        <v>5</v>
      </c>
      <c r="G6" s="1" t="s">
        <v>5</v>
      </c>
      <c r="H6" s="24">
        <v>0</v>
      </c>
      <c r="I6" s="1" t="s">
        <v>6</v>
      </c>
      <c r="J6" s="24">
        <v>0.99998842592592596</v>
      </c>
      <c r="K6" s="1">
        <v>6.6</v>
      </c>
      <c r="L6" s="1">
        <v>8.8000000000000007</v>
      </c>
      <c r="M6" s="1">
        <v>11</v>
      </c>
      <c r="N6" s="1">
        <v>-1</v>
      </c>
      <c r="O6" s="1">
        <v>-1</v>
      </c>
      <c r="P6" s="1">
        <v>-1</v>
      </c>
      <c r="Q6" s="1">
        <v>13.3</v>
      </c>
      <c r="R6" s="1">
        <v>18</v>
      </c>
      <c r="S6" s="1">
        <v>22.5</v>
      </c>
      <c r="T6" s="1">
        <v>6.6</v>
      </c>
      <c r="U6" s="1">
        <v>8.8000000000000007</v>
      </c>
      <c r="V6" s="1">
        <v>11</v>
      </c>
      <c r="W6" s="1">
        <v>18</v>
      </c>
      <c r="X6" s="1">
        <v>22.5</v>
      </c>
      <c r="Y6" s="1">
        <v>8.8000000000000007</v>
      </c>
      <c r="Z6" s="1">
        <v>11</v>
      </c>
      <c r="AA6" s="1">
        <v>11</v>
      </c>
      <c r="AB6" s="47">
        <v>45076</v>
      </c>
    </row>
    <row r="7" spans="1:28" x14ac:dyDescent="0.3">
      <c r="A7" s="2"/>
      <c r="B7" s="2"/>
      <c r="C7" s="2"/>
      <c r="G7" s="1" t="s">
        <v>5</v>
      </c>
      <c r="H7" s="24">
        <v>0</v>
      </c>
      <c r="I7" s="1" t="s">
        <v>6</v>
      </c>
      <c r="J7" s="24">
        <v>0.99998842592592596</v>
      </c>
      <c r="K7" s="1">
        <v>7.1</v>
      </c>
      <c r="L7" s="1">
        <v>10.4</v>
      </c>
      <c r="M7" s="1">
        <v>12.8</v>
      </c>
      <c r="N7" s="1">
        <v>-1</v>
      </c>
      <c r="O7" s="1">
        <v>-1</v>
      </c>
      <c r="P7" s="1">
        <v>-1</v>
      </c>
      <c r="Q7" s="1">
        <v>14.4</v>
      </c>
      <c r="R7" s="1">
        <v>21.5</v>
      </c>
      <c r="S7" s="1">
        <v>26.1</v>
      </c>
      <c r="T7" s="1">
        <v>7.1</v>
      </c>
      <c r="U7" s="1">
        <v>10.4</v>
      </c>
      <c r="V7" s="1">
        <v>12.8</v>
      </c>
      <c r="W7" s="1">
        <v>21.5</v>
      </c>
      <c r="X7" s="1">
        <v>26.1</v>
      </c>
      <c r="Y7" s="1">
        <v>10.4</v>
      </c>
      <c r="Z7" s="1">
        <v>12.8</v>
      </c>
      <c r="AA7" s="1">
        <v>12.8</v>
      </c>
      <c r="AB7" s="47">
        <v>45057</v>
      </c>
    </row>
    <row r="8" spans="1:28" x14ac:dyDescent="0.3">
      <c r="G8" s="1" t="s">
        <v>5</v>
      </c>
      <c r="H8" s="24">
        <v>0</v>
      </c>
      <c r="I8" s="1" t="s">
        <v>6</v>
      </c>
      <c r="J8" s="24">
        <v>0.99998842592592596</v>
      </c>
      <c r="K8" s="1">
        <v>9.4</v>
      </c>
      <c r="L8" s="1">
        <v>13.8</v>
      </c>
      <c r="M8" s="1">
        <v>16.100000000000001</v>
      </c>
      <c r="N8" s="1">
        <v>-1</v>
      </c>
      <c r="O8" s="1">
        <v>-1</v>
      </c>
      <c r="P8" s="1">
        <v>-1</v>
      </c>
      <c r="Q8" s="1">
        <v>19.2</v>
      </c>
      <c r="R8" s="1">
        <v>28.3</v>
      </c>
      <c r="S8" s="1">
        <v>32.799999999999997</v>
      </c>
      <c r="T8" s="1">
        <v>9.4</v>
      </c>
      <c r="U8" s="1">
        <v>13.8</v>
      </c>
      <c r="V8" s="1">
        <v>16.100000000000001</v>
      </c>
      <c r="W8" s="1">
        <v>28.3</v>
      </c>
      <c r="X8" s="1">
        <v>32.799999999999997</v>
      </c>
      <c r="Y8" s="1">
        <v>13.8</v>
      </c>
      <c r="Z8" s="1">
        <v>16.100000000000001</v>
      </c>
      <c r="AA8" s="1">
        <v>16.100000000000001</v>
      </c>
      <c r="AB8" s="47">
        <v>45052</v>
      </c>
    </row>
    <row r="9" spans="1:28" x14ac:dyDescent="0.3">
      <c r="G9" s="1" t="s">
        <v>5</v>
      </c>
      <c r="H9" s="24">
        <v>0</v>
      </c>
      <c r="I9" s="1" t="s">
        <v>6</v>
      </c>
      <c r="J9" s="24">
        <v>0.99998842592592596</v>
      </c>
      <c r="K9" s="1">
        <v>11.6</v>
      </c>
      <c r="L9" s="1">
        <v>17.3</v>
      </c>
      <c r="M9" s="1">
        <v>21.3</v>
      </c>
      <c r="N9" s="1">
        <v>-1</v>
      </c>
      <c r="O9" s="1">
        <v>-1</v>
      </c>
      <c r="P9" s="1">
        <v>-1</v>
      </c>
      <c r="Q9" s="1">
        <v>23.6</v>
      </c>
      <c r="R9" s="1">
        <v>35.200000000000003</v>
      </c>
      <c r="S9" s="1">
        <v>43</v>
      </c>
      <c r="T9" s="1">
        <v>11.6</v>
      </c>
      <c r="U9" s="1">
        <v>17.3</v>
      </c>
      <c r="V9" s="1">
        <v>21.3</v>
      </c>
      <c r="W9" s="1">
        <v>35.200000000000003</v>
      </c>
      <c r="X9" s="1">
        <v>43</v>
      </c>
      <c r="Y9" s="1">
        <v>17.3</v>
      </c>
      <c r="Z9" s="1">
        <v>21.3</v>
      </c>
      <c r="AA9" s="1">
        <v>21.3</v>
      </c>
      <c r="AB9" s="47">
        <v>45098</v>
      </c>
    </row>
    <row r="10" spans="1:28" x14ac:dyDescent="0.3">
      <c r="G10" s="1" t="s">
        <v>5</v>
      </c>
      <c r="H10" s="24">
        <v>0</v>
      </c>
      <c r="I10" s="1" t="s">
        <v>6</v>
      </c>
      <c r="J10" s="24">
        <v>0.99998842592592596</v>
      </c>
      <c r="K10" s="1">
        <v>16.100000000000001</v>
      </c>
      <c r="L10" s="1">
        <v>24.1</v>
      </c>
      <c r="M10" s="1">
        <v>29.1</v>
      </c>
      <c r="N10" s="1">
        <v>-1</v>
      </c>
      <c r="O10" s="1">
        <v>-1</v>
      </c>
      <c r="P10" s="1">
        <v>-1</v>
      </c>
      <c r="Q10" s="1">
        <v>32.799999999999997</v>
      </c>
      <c r="R10" s="1">
        <v>49</v>
      </c>
      <c r="S10" s="1">
        <v>59</v>
      </c>
      <c r="T10" s="1">
        <v>16.100000000000001</v>
      </c>
      <c r="U10" s="1">
        <v>24.1</v>
      </c>
      <c r="V10" s="1">
        <v>29.1</v>
      </c>
      <c r="W10" s="1">
        <v>49</v>
      </c>
      <c r="X10" s="1">
        <v>59</v>
      </c>
      <c r="Y10" s="1">
        <v>24.1</v>
      </c>
      <c r="Z10" s="1">
        <v>29.1</v>
      </c>
      <c r="AA10" s="1">
        <v>29.1</v>
      </c>
      <c r="AB10" s="47">
        <v>45092</v>
      </c>
    </row>
    <row r="11" spans="1:28" x14ac:dyDescent="0.3">
      <c r="G11" s="1" t="s">
        <v>5</v>
      </c>
      <c r="H11" s="24">
        <v>0</v>
      </c>
      <c r="I11" s="1" t="s">
        <v>6</v>
      </c>
      <c r="J11" s="24">
        <v>0.99998842592592596</v>
      </c>
      <c r="K11" s="1">
        <v>18.399999999999999</v>
      </c>
      <c r="L11" s="1">
        <v>27.5</v>
      </c>
      <c r="M11" s="1">
        <v>33.799999999999997</v>
      </c>
      <c r="N11" s="1">
        <v>-1</v>
      </c>
      <c r="O11" s="1">
        <v>-1</v>
      </c>
      <c r="P11" s="1">
        <v>-1</v>
      </c>
      <c r="Q11" s="1">
        <v>37.200000000000003</v>
      </c>
      <c r="R11" s="1">
        <v>55.6</v>
      </c>
      <c r="S11" s="1">
        <v>67.900000000000006</v>
      </c>
      <c r="T11" s="1">
        <v>18.399999999999999</v>
      </c>
      <c r="U11" s="1">
        <v>27.5</v>
      </c>
      <c r="V11" s="1">
        <v>33.799999999999997</v>
      </c>
      <c r="W11" s="1">
        <v>55.6</v>
      </c>
      <c r="X11" s="1">
        <v>67.900000000000006</v>
      </c>
      <c r="Y11" s="1">
        <v>27.5</v>
      </c>
      <c r="Z11" s="1">
        <v>33.799999999999997</v>
      </c>
      <c r="AA11" s="1">
        <v>33.799999999999997</v>
      </c>
      <c r="AB11" s="47">
        <v>45104</v>
      </c>
    </row>
    <row r="12" spans="1:28" x14ac:dyDescent="0.3">
      <c r="G12" s="1" t="s">
        <v>5</v>
      </c>
      <c r="H12" s="24">
        <v>0</v>
      </c>
      <c r="I12" s="1" t="s">
        <v>6</v>
      </c>
      <c r="J12" s="24">
        <v>0.99998842592592596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47">
        <v>45116</v>
      </c>
    </row>
    <row r="13" spans="1:28" x14ac:dyDescent="0.3">
      <c r="C13" s="1" t="s">
        <v>176</v>
      </c>
      <c r="D13" s="48">
        <f>SUMIF(Dataset!H:H,"&gt;20")</f>
        <v>1473.0000000000002</v>
      </c>
      <c r="E13" s="2"/>
      <c r="G13" s="1" t="s">
        <v>5</v>
      </c>
      <c r="H13" s="24">
        <v>0</v>
      </c>
      <c r="I13" s="1" t="s">
        <v>6</v>
      </c>
      <c r="J13" s="24">
        <v>0.99998842592592596</v>
      </c>
      <c r="K13" s="1">
        <v>21.9</v>
      </c>
      <c r="L13" s="1">
        <v>32.1</v>
      </c>
      <c r="M13" s="1">
        <v>40.1</v>
      </c>
      <c r="N13" s="1">
        <v>-1</v>
      </c>
      <c r="O13" s="1">
        <v>-1</v>
      </c>
      <c r="P13" s="1">
        <v>-1</v>
      </c>
      <c r="Q13" s="1">
        <v>42.3</v>
      </c>
      <c r="R13" s="1">
        <v>61.5</v>
      </c>
      <c r="S13" s="1">
        <v>76.599999999999994</v>
      </c>
      <c r="T13" s="1">
        <v>21.9</v>
      </c>
      <c r="U13" s="1">
        <v>32.1</v>
      </c>
      <c r="V13" s="1">
        <v>40.1</v>
      </c>
      <c r="W13" s="1">
        <v>61.5</v>
      </c>
      <c r="X13" s="1">
        <v>76.599999999999994</v>
      </c>
      <c r="Y13" s="1">
        <v>32.1</v>
      </c>
      <c r="Z13" s="1">
        <v>40.1</v>
      </c>
      <c r="AA13" s="1">
        <v>40.1</v>
      </c>
      <c r="AB13" s="47">
        <v>45110</v>
      </c>
    </row>
    <row r="14" spans="1:28" x14ac:dyDescent="0.3">
      <c r="E14" s="2"/>
      <c r="G14" s="1" t="s">
        <v>5</v>
      </c>
      <c r="H14" s="24">
        <v>0</v>
      </c>
      <c r="I14" s="1" t="s">
        <v>6</v>
      </c>
      <c r="J14" s="24">
        <v>0.99998842592592596</v>
      </c>
      <c r="K14" s="1">
        <v>23.5</v>
      </c>
      <c r="L14" s="1">
        <v>34.700000000000003</v>
      </c>
      <c r="M14" s="1">
        <v>42.7</v>
      </c>
      <c r="N14" s="1">
        <v>-1</v>
      </c>
      <c r="O14" s="1">
        <v>-1</v>
      </c>
      <c r="P14" s="1">
        <v>-1</v>
      </c>
      <c r="Q14" s="1">
        <v>47.7</v>
      </c>
      <c r="R14" s="1">
        <v>70.8</v>
      </c>
      <c r="S14" s="1">
        <v>86.6</v>
      </c>
      <c r="T14" s="1">
        <v>23.5</v>
      </c>
      <c r="U14" s="1">
        <v>34.700000000000003</v>
      </c>
      <c r="V14" s="1">
        <v>42.7</v>
      </c>
      <c r="W14" s="1">
        <v>70.8</v>
      </c>
      <c r="X14" s="1">
        <v>86.6</v>
      </c>
      <c r="Y14" s="1">
        <v>34.700000000000003</v>
      </c>
      <c r="Z14" s="1">
        <v>42.7</v>
      </c>
      <c r="AA14" s="1">
        <v>42.7</v>
      </c>
      <c r="AB14" s="47">
        <v>45095</v>
      </c>
    </row>
    <row r="15" spans="1:28" x14ac:dyDescent="0.3">
      <c r="G15" s="1" t="s">
        <v>5</v>
      </c>
      <c r="H15" s="24">
        <v>0</v>
      </c>
      <c r="I15" s="1" t="s">
        <v>6</v>
      </c>
      <c r="J15" s="24">
        <v>0.99998842592592596</v>
      </c>
      <c r="K15" s="1">
        <v>26.8</v>
      </c>
      <c r="L15" s="1">
        <v>39.299999999999997</v>
      </c>
      <c r="M15" s="1">
        <v>47.9</v>
      </c>
      <c r="N15" s="1">
        <v>-1</v>
      </c>
      <c r="O15" s="1">
        <v>-1</v>
      </c>
      <c r="P15" s="1">
        <v>-1</v>
      </c>
      <c r="Q15" s="1">
        <v>54.6</v>
      </c>
      <c r="R15" s="1">
        <v>79.599999999999994</v>
      </c>
      <c r="S15" s="1">
        <v>96.8</v>
      </c>
      <c r="T15" s="1">
        <v>26.8</v>
      </c>
      <c r="U15" s="1">
        <v>39.299999999999997</v>
      </c>
      <c r="V15" s="1">
        <v>47.9</v>
      </c>
      <c r="W15" s="1">
        <v>79.599999999999994</v>
      </c>
      <c r="X15" s="1">
        <v>96.8</v>
      </c>
      <c r="Y15" s="1">
        <v>39.299999999999997</v>
      </c>
      <c r="Z15" s="1">
        <v>47.9</v>
      </c>
      <c r="AA15" s="1">
        <v>47.9</v>
      </c>
      <c r="AB15" s="47">
        <v>45113</v>
      </c>
    </row>
    <row r="16" spans="1:28" x14ac:dyDescent="0.3">
      <c r="G16" s="1" t="s">
        <v>5</v>
      </c>
      <c r="H16" s="24">
        <v>0</v>
      </c>
      <c r="I16" s="1" t="s">
        <v>6</v>
      </c>
      <c r="J16" s="24">
        <v>0.99998842592592596</v>
      </c>
      <c r="K16" s="1">
        <v>28</v>
      </c>
      <c r="L16" s="1">
        <v>41</v>
      </c>
      <c r="M16" s="1">
        <v>50.1</v>
      </c>
      <c r="N16" s="1">
        <v>-1</v>
      </c>
      <c r="O16" s="1">
        <v>-1</v>
      </c>
      <c r="P16" s="1">
        <v>-1</v>
      </c>
      <c r="Q16" s="1">
        <v>56.7</v>
      </c>
      <c r="R16" s="1">
        <v>83.2</v>
      </c>
      <c r="S16" s="1">
        <v>101.3</v>
      </c>
      <c r="T16" s="1">
        <v>28</v>
      </c>
      <c r="U16" s="1">
        <v>41</v>
      </c>
      <c r="V16" s="1">
        <v>50.1</v>
      </c>
      <c r="W16" s="1">
        <v>83.2</v>
      </c>
      <c r="X16" s="1">
        <v>101.3</v>
      </c>
      <c r="Y16" s="1">
        <v>41</v>
      </c>
      <c r="Z16" s="1">
        <v>50.1</v>
      </c>
      <c r="AA16" s="1">
        <v>50.1</v>
      </c>
      <c r="AB16" s="47">
        <v>45063</v>
      </c>
    </row>
    <row r="17" spans="7:28" x14ac:dyDescent="0.3">
      <c r="G17" s="1" t="s">
        <v>5</v>
      </c>
      <c r="H17" s="24">
        <v>0</v>
      </c>
      <c r="I17" s="1" t="s">
        <v>6</v>
      </c>
      <c r="J17" s="24">
        <v>0.99998842592592596</v>
      </c>
      <c r="K17" s="1">
        <v>28.5</v>
      </c>
      <c r="L17" s="1">
        <v>42.3</v>
      </c>
      <c r="M17" s="1">
        <v>52.3</v>
      </c>
      <c r="N17" s="1">
        <v>-1</v>
      </c>
      <c r="O17" s="1">
        <v>-1</v>
      </c>
      <c r="P17" s="1">
        <v>-1</v>
      </c>
      <c r="Q17" s="1">
        <v>58.3</v>
      </c>
      <c r="R17" s="1">
        <v>85.4</v>
      </c>
      <c r="S17" s="1">
        <v>106.1</v>
      </c>
      <c r="T17" s="1">
        <v>28.5</v>
      </c>
      <c r="U17" s="1">
        <v>42.3</v>
      </c>
      <c r="V17" s="1">
        <v>52.3</v>
      </c>
      <c r="W17" s="1">
        <v>85.4</v>
      </c>
      <c r="X17" s="1">
        <v>106.1</v>
      </c>
      <c r="Y17" s="1">
        <v>42.3</v>
      </c>
      <c r="Z17" s="1">
        <v>52.3</v>
      </c>
      <c r="AA17" s="1">
        <v>52.3</v>
      </c>
      <c r="AB17" s="47">
        <v>45071</v>
      </c>
    </row>
    <row r="18" spans="7:28" x14ac:dyDescent="0.3">
      <c r="G18" s="1" t="s">
        <v>5</v>
      </c>
      <c r="H18" s="24">
        <v>0</v>
      </c>
      <c r="I18" s="1" t="s">
        <v>6</v>
      </c>
      <c r="J18" s="24">
        <v>0.99998842592592596</v>
      </c>
      <c r="K18" s="1">
        <v>29.1</v>
      </c>
      <c r="L18" s="1">
        <v>43.3</v>
      </c>
      <c r="M18" s="1">
        <v>53.7</v>
      </c>
      <c r="N18" s="1">
        <v>-1</v>
      </c>
      <c r="O18" s="1">
        <v>-1</v>
      </c>
      <c r="P18" s="1">
        <v>-1</v>
      </c>
      <c r="Q18" s="1">
        <v>59</v>
      </c>
      <c r="R18" s="1">
        <v>87.6</v>
      </c>
      <c r="S18" s="1">
        <v>108.8</v>
      </c>
      <c r="T18" s="1">
        <v>29.1</v>
      </c>
      <c r="U18" s="1">
        <v>43.3</v>
      </c>
      <c r="V18" s="1">
        <v>53.7</v>
      </c>
      <c r="W18" s="1">
        <v>87.6</v>
      </c>
      <c r="X18" s="1">
        <v>108.8</v>
      </c>
      <c r="Y18" s="1">
        <v>43.3</v>
      </c>
      <c r="Z18" s="1">
        <v>53.7</v>
      </c>
      <c r="AA18" s="1">
        <v>53.7</v>
      </c>
      <c r="AB18" s="47">
        <v>45085</v>
      </c>
    </row>
    <row r="19" spans="7:28" x14ac:dyDescent="0.3">
      <c r="G19" s="1" t="s">
        <v>5</v>
      </c>
      <c r="H19" s="24">
        <v>0</v>
      </c>
      <c r="I19" s="1" t="s">
        <v>6</v>
      </c>
      <c r="J19" s="24">
        <v>0.99998842592592596</v>
      </c>
      <c r="K19" s="1">
        <v>30.7</v>
      </c>
      <c r="L19" s="1">
        <v>45.5</v>
      </c>
      <c r="M19" s="1">
        <v>57</v>
      </c>
      <c r="N19" s="1">
        <v>-1</v>
      </c>
      <c r="O19" s="1">
        <v>-1</v>
      </c>
      <c r="P19" s="1">
        <v>-1</v>
      </c>
      <c r="Q19" s="1">
        <v>62.5</v>
      </c>
      <c r="R19" s="1">
        <v>92.1</v>
      </c>
      <c r="S19" s="1">
        <v>115.1</v>
      </c>
      <c r="T19" s="1">
        <v>30.7</v>
      </c>
      <c r="U19" s="1">
        <v>45.5</v>
      </c>
      <c r="V19" s="1">
        <v>57</v>
      </c>
      <c r="W19" s="1">
        <v>92.1</v>
      </c>
      <c r="X19" s="1">
        <v>115.1</v>
      </c>
      <c r="Y19" s="1">
        <v>45.5</v>
      </c>
      <c r="Z19" s="1">
        <v>57</v>
      </c>
      <c r="AA19" s="1">
        <v>57</v>
      </c>
      <c r="AB19" s="47">
        <v>45099</v>
      </c>
    </row>
    <row r="20" spans="7:28" x14ac:dyDescent="0.3">
      <c r="G20" s="1" t="s">
        <v>5</v>
      </c>
      <c r="H20" s="24">
        <v>0</v>
      </c>
      <c r="I20" s="1" t="s">
        <v>6</v>
      </c>
      <c r="J20" s="24">
        <v>0.99998842592592596</v>
      </c>
      <c r="K20" s="1">
        <v>33.799999999999997</v>
      </c>
      <c r="L20" s="1">
        <v>50.1</v>
      </c>
      <c r="M20" s="1">
        <v>61.4</v>
      </c>
      <c r="N20" s="1">
        <v>-1</v>
      </c>
      <c r="O20" s="1">
        <v>-1</v>
      </c>
      <c r="P20" s="1">
        <v>-1</v>
      </c>
      <c r="Q20" s="1">
        <v>67.900000000000006</v>
      </c>
      <c r="R20" s="1">
        <v>101.3</v>
      </c>
      <c r="S20" s="1">
        <v>124.4</v>
      </c>
      <c r="T20" s="1">
        <v>33.799999999999997</v>
      </c>
      <c r="U20" s="1">
        <v>50.1</v>
      </c>
      <c r="V20" s="1">
        <v>61.4</v>
      </c>
      <c r="W20" s="1">
        <v>101.3</v>
      </c>
      <c r="X20" s="1">
        <v>124.4</v>
      </c>
      <c r="Y20" s="1">
        <v>50.1</v>
      </c>
      <c r="Z20" s="1">
        <v>61.4</v>
      </c>
      <c r="AA20" s="1">
        <v>61.4</v>
      </c>
      <c r="AB20" s="47">
        <v>45091</v>
      </c>
    </row>
    <row r="21" spans="7:28" x14ac:dyDescent="0.3">
      <c r="G21" s="1" t="s">
        <v>5</v>
      </c>
      <c r="H21" s="24">
        <v>0</v>
      </c>
      <c r="I21" s="1" t="s">
        <v>6</v>
      </c>
      <c r="J21" s="24">
        <v>0.99998842592592596</v>
      </c>
      <c r="K21" s="1">
        <v>34.700000000000003</v>
      </c>
      <c r="L21" s="1">
        <v>52.3</v>
      </c>
      <c r="M21" s="1">
        <v>63.6</v>
      </c>
      <c r="N21" s="1">
        <v>-1</v>
      </c>
      <c r="O21" s="1">
        <v>-1</v>
      </c>
      <c r="P21" s="1">
        <v>-1</v>
      </c>
      <c r="Q21" s="1">
        <v>70.8</v>
      </c>
      <c r="R21" s="1">
        <v>106.1</v>
      </c>
      <c r="S21" s="1">
        <v>128.6</v>
      </c>
      <c r="T21" s="1">
        <v>34.700000000000003</v>
      </c>
      <c r="U21" s="1">
        <v>52.3</v>
      </c>
      <c r="V21" s="1">
        <v>63.6</v>
      </c>
      <c r="W21" s="1">
        <v>106.1</v>
      </c>
      <c r="X21" s="1">
        <v>128.6</v>
      </c>
      <c r="Y21" s="1">
        <v>52.3</v>
      </c>
      <c r="Z21" s="1">
        <v>63.6</v>
      </c>
      <c r="AA21" s="1">
        <v>63.6</v>
      </c>
      <c r="AB21" s="47">
        <v>45079</v>
      </c>
    </row>
    <row r="22" spans="7:28" x14ac:dyDescent="0.3">
      <c r="G22" s="1" t="s">
        <v>5</v>
      </c>
      <c r="H22" s="24">
        <v>0</v>
      </c>
      <c r="I22" s="1" t="s">
        <v>6</v>
      </c>
      <c r="J22" s="24">
        <v>0.99998842592592596</v>
      </c>
      <c r="K22" s="1">
        <v>36.5</v>
      </c>
      <c r="L22" s="1">
        <v>54.6</v>
      </c>
      <c r="M22" s="1">
        <v>65.900000000000006</v>
      </c>
      <c r="N22" s="1">
        <v>-1</v>
      </c>
      <c r="O22" s="1">
        <v>-1</v>
      </c>
      <c r="P22" s="1">
        <v>-1</v>
      </c>
      <c r="Q22" s="1">
        <v>73.900000000000006</v>
      </c>
      <c r="R22" s="1">
        <v>110.3</v>
      </c>
      <c r="S22" s="1">
        <v>133.4</v>
      </c>
      <c r="T22" s="1">
        <v>36.5</v>
      </c>
      <c r="U22" s="1">
        <v>54.6</v>
      </c>
      <c r="V22" s="1">
        <v>65.900000000000006</v>
      </c>
      <c r="W22" s="1">
        <v>110.3</v>
      </c>
      <c r="X22" s="1">
        <v>133.4</v>
      </c>
      <c r="Y22" s="1">
        <v>54.6</v>
      </c>
      <c r="Z22" s="1">
        <v>65.900000000000006</v>
      </c>
      <c r="AA22" s="1">
        <v>65.900000000000006</v>
      </c>
      <c r="AB22" s="47">
        <v>45075</v>
      </c>
    </row>
    <row r="23" spans="7:28" x14ac:dyDescent="0.3">
      <c r="G23" s="1" t="s">
        <v>5</v>
      </c>
      <c r="H23" s="24">
        <v>0</v>
      </c>
      <c r="I23" s="1" t="s">
        <v>6</v>
      </c>
      <c r="J23" s="24">
        <v>0.99998842592592596</v>
      </c>
      <c r="K23" s="1">
        <v>38</v>
      </c>
      <c r="L23" s="1">
        <v>57.2</v>
      </c>
      <c r="M23" s="1">
        <v>68.7</v>
      </c>
      <c r="N23" s="1">
        <v>-1</v>
      </c>
      <c r="O23" s="1">
        <v>-1</v>
      </c>
      <c r="P23" s="1">
        <v>-1</v>
      </c>
      <c r="Q23" s="1">
        <v>76.599999999999994</v>
      </c>
      <c r="R23" s="1">
        <v>115.5</v>
      </c>
      <c r="S23" s="1">
        <v>138.80000000000001</v>
      </c>
      <c r="T23" s="1">
        <v>38</v>
      </c>
      <c r="U23" s="1">
        <v>57.2</v>
      </c>
      <c r="V23" s="1">
        <v>68.7</v>
      </c>
      <c r="W23" s="1">
        <v>115.5</v>
      </c>
      <c r="X23" s="1">
        <v>138.80000000000001</v>
      </c>
      <c r="Y23" s="1">
        <v>57.2</v>
      </c>
      <c r="Z23" s="1">
        <v>68.7</v>
      </c>
      <c r="AA23" s="1">
        <v>68.7</v>
      </c>
      <c r="AB23" s="47">
        <v>45110</v>
      </c>
    </row>
    <row r="24" spans="7:28" x14ac:dyDescent="0.3">
      <c r="G24" s="1" t="s">
        <v>5</v>
      </c>
      <c r="H24" s="24">
        <v>0</v>
      </c>
      <c r="I24" s="1" t="s">
        <v>6</v>
      </c>
      <c r="J24" s="24">
        <v>0.99998842592592596</v>
      </c>
      <c r="K24" s="1">
        <v>38.700000000000003</v>
      </c>
      <c r="L24" s="1">
        <v>59.2</v>
      </c>
      <c r="M24" s="1">
        <v>70.400000000000006</v>
      </c>
      <c r="N24" s="1">
        <v>-1</v>
      </c>
      <c r="O24" s="1">
        <v>-1</v>
      </c>
      <c r="P24" s="1">
        <v>-1</v>
      </c>
      <c r="Q24" s="1">
        <v>78.599999999999994</v>
      </c>
      <c r="R24" s="1">
        <v>119.4</v>
      </c>
      <c r="S24" s="1">
        <v>142.5</v>
      </c>
      <c r="T24" s="1">
        <v>38.700000000000003</v>
      </c>
      <c r="U24" s="1">
        <v>59.2</v>
      </c>
      <c r="V24" s="1">
        <v>70.400000000000006</v>
      </c>
      <c r="W24" s="1">
        <v>119.4</v>
      </c>
      <c r="X24" s="1">
        <v>142.5</v>
      </c>
      <c r="Y24" s="1">
        <v>59.2</v>
      </c>
      <c r="Z24" s="1">
        <v>70.400000000000006</v>
      </c>
      <c r="AA24" s="1">
        <v>70.400000000000006</v>
      </c>
      <c r="AB24" s="47">
        <v>45114</v>
      </c>
    </row>
    <row r="25" spans="7:28" x14ac:dyDescent="0.3">
      <c r="G25" s="1" t="s">
        <v>5</v>
      </c>
      <c r="H25" s="24">
        <v>0</v>
      </c>
      <c r="I25" s="1" t="s">
        <v>6</v>
      </c>
      <c r="J25" s="24">
        <v>0.99998842592592596</v>
      </c>
      <c r="K25" s="1">
        <v>40.1</v>
      </c>
      <c r="L25" s="1">
        <v>59.2</v>
      </c>
      <c r="M25" s="1">
        <v>72.8</v>
      </c>
      <c r="N25" s="1">
        <v>-1</v>
      </c>
      <c r="O25" s="1">
        <v>-1</v>
      </c>
      <c r="P25" s="1">
        <v>-1</v>
      </c>
      <c r="Q25" s="1">
        <v>80.8</v>
      </c>
      <c r="R25" s="1">
        <v>119.4</v>
      </c>
      <c r="S25" s="1">
        <v>146.80000000000001</v>
      </c>
      <c r="T25" s="1">
        <v>40.1</v>
      </c>
      <c r="U25" s="1">
        <v>59.2</v>
      </c>
      <c r="V25" s="1">
        <v>72.8</v>
      </c>
      <c r="W25" s="1">
        <v>119.4</v>
      </c>
      <c r="X25" s="1">
        <v>146.80000000000001</v>
      </c>
      <c r="Y25" s="1">
        <v>59.2</v>
      </c>
      <c r="Z25" s="1">
        <v>72.8</v>
      </c>
      <c r="AA25" s="1">
        <v>72.8</v>
      </c>
      <c r="AB25" s="47">
        <v>45118</v>
      </c>
    </row>
    <row r="26" spans="7:28" x14ac:dyDescent="0.3">
      <c r="G26" s="1" t="s">
        <v>5</v>
      </c>
      <c r="H26" s="24">
        <v>0</v>
      </c>
      <c r="I26" s="1" t="s">
        <v>6</v>
      </c>
      <c r="J26" s="24">
        <v>0.99998842592592596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47">
        <v>45142</v>
      </c>
    </row>
    <row r="27" spans="7:28" x14ac:dyDescent="0.3">
      <c r="G27" s="1" t="s">
        <v>5</v>
      </c>
      <c r="H27" s="24">
        <v>0</v>
      </c>
      <c r="I27" s="1" t="s">
        <v>6</v>
      </c>
      <c r="J27" s="24">
        <v>0.99998842592592596</v>
      </c>
      <c r="K27" s="1">
        <v>41.3</v>
      </c>
      <c r="L27" s="1">
        <v>61.4</v>
      </c>
      <c r="M27" s="1">
        <v>75</v>
      </c>
      <c r="N27" s="1">
        <v>-1</v>
      </c>
      <c r="O27" s="1">
        <v>-1</v>
      </c>
      <c r="P27" s="1">
        <v>-1</v>
      </c>
      <c r="Q27" s="1">
        <v>83.5</v>
      </c>
      <c r="R27" s="1">
        <v>124.4</v>
      </c>
      <c r="S27" s="1">
        <v>151.5</v>
      </c>
      <c r="T27" s="1">
        <v>41.3</v>
      </c>
      <c r="U27" s="1">
        <v>61.4</v>
      </c>
      <c r="V27" s="1">
        <v>75</v>
      </c>
      <c r="W27" s="1">
        <v>124.4</v>
      </c>
      <c r="X27" s="1">
        <v>151.5</v>
      </c>
      <c r="Y27" s="1">
        <v>61.4</v>
      </c>
      <c r="Z27" s="1">
        <v>75</v>
      </c>
      <c r="AA27" s="1">
        <v>75</v>
      </c>
      <c r="AB27" s="47">
        <v>45146</v>
      </c>
    </row>
    <row r="28" spans="7:28" x14ac:dyDescent="0.3">
      <c r="G28" s="1" t="s">
        <v>5</v>
      </c>
      <c r="H28" s="24">
        <v>0</v>
      </c>
      <c r="I28" s="1" t="s">
        <v>6</v>
      </c>
      <c r="J28" s="24">
        <v>0.99998842592592596</v>
      </c>
      <c r="K28" s="1">
        <v>42.3</v>
      </c>
      <c r="L28" s="1">
        <v>61.4</v>
      </c>
      <c r="M28" s="1">
        <v>75</v>
      </c>
      <c r="N28" s="1">
        <v>-1</v>
      </c>
      <c r="O28" s="1">
        <v>-1</v>
      </c>
      <c r="P28" s="1">
        <v>-1</v>
      </c>
      <c r="Q28" s="1">
        <v>85.4</v>
      </c>
      <c r="R28" s="1">
        <v>124.4</v>
      </c>
      <c r="S28" s="1">
        <v>151.5</v>
      </c>
      <c r="T28" s="1">
        <v>42.3</v>
      </c>
      <c r="U28" s="1">
        <v>61.4</v>
      </c>
      <c r="V28" s="1">
        <v>75</v>
      </c>
      <c r="W28" s="1">
        <v>124.4</v>
      </c>
      <c r="X28" s="1">
        <v>151.5</v>
      </c>
      <c r="Y28" s="1">
        <v>61.4</v>
      </c>
      <c r="Z28" s="1">
        <v>75</v>
      </c>
      <c r="AA28" s="1">
        <v>75</v>
      </c>
      <c r="AB28" s="47">
        <v>45108</v>
      </c>
    </row>
    <row r="29" spans="7:28" x14ac:dyDescent="0.3">
      <c r="G29" s="1" t="s">
        <v>5</v>
      </c>
      <c r="H29" s="24">
        <v>0</v>
      </c>
      <c r="I29" s="1" t="s">
        <v>6</v>
      </c>
      <c r="J29" s="24">
        <v>0.99998842592592596</v>
      </c>
      <c r="K29" s="1">
        <v>43.3</v>
      </c>
      <c r="L29" s="1">
        <v>63.6</v>
      </c>
      <c r="M29" s="1">
        <v>77.2</v>
      </c>
      <c r="N29" s="1">
        <v>-1</v>
      </c>
      <c r="O29" s="1">
        <v>-1</v>
      </c>
      <c r="P29" s="1">
        <v>-1</v>
      </c>
      <c r="Q29" s="1">
        <v>87.6</v>
      </c>
      <c r="R29" s="1">
        <v>128.6</v>
      </c>
      <c r="S29" s="1">
        <v>156.4</v>
      </c>
      <c r="T29" s="1">
        <v>43.3</v>
      </c>
      <c r="U29" s="1">
        <v>63.6</v>
      </c>
      <c r="V29" s="1">
        <v>77.2</v>
      </c>
      <c r="W29" s="1">
        <v>128.6</v>
      </c>
      <c r="X29" s="1">
        <v>156.4</v>
      </c>
      <c r="Y29" s="1">
        <v>63.6</v>
      </c>
      <c r="Z29" s="1">
        <v>77.2</v>
      </c>
      <c r="AA29" s="1">
        <v>77.2</v>
      </c>
      <c r="AB29" s="47">
        <v>45153</v>
      </c>
    </row>
    <row r="30" spans="7:28" x14ac:dyDescent="0.3">
      <c r="G30" s="1" t="s">
        <v>5</v>
      </c>
      <c r="H30" s="24">
        <v>0</v>
      </c>
      <c r="I30" s="1" t="s">
        <v>6</v>
      </c>
      <c r="J30" s="24">
        <v>0.99998842592592596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1">
        <v>-1</v>
      </c>
      <c r="Y30" s="1">
        <v>-1</v>
      </c>
      <c r="Z30" s="1">
        <v>-1</v>
      </c>
      <c r="AA30" s="1">
        <v>-1</v>
      </c>
      <c r="AB30" s="47">
        <v>45150</v>
      </c>
    </row>
    <row r="31" spans="7:28" x14ac:dyDescent="0.3">
      <c r="G31" s="1" t="s">
        <v>5</v>
      </c>
      <c r="H31" s="24">
        <v>0</v>
      </c>
      <c r="I31" s="1" t="s">
        <v>6</v>
      </c>
      <c r="J31" s="24">
        <v>0.99998842592592596</v>
      </c>
      <c r="K31" s="1">
        <v>45</v>
      </c>
      <c r="L31" s="1">
        <v>65.900000000000006</v>
      </c>
      <c r="M31" s="1">
        <v>79.400000000000006</v>
      </c>
      <c r="N31" s="1">
        <v>-1</v>
      </c>
      <c r="O31" s="1">
        <v>-1</v>
      </c>
      <c r="P31" s="1">
        <v>-1</v>
      </c>
      <c r="Q31" s="1">
        <v>90.9</v>
      </c>
      <c r="R31" s="1">
        <v>133.4</v>
      </c>
      <c r="S31" s="1">
        <v>160.9</v>
      </c>
      <c r="T31" s="1">
        <v>45</v>
      </c>
      <c r="U31" s="1">
        <v>65.900000000000006</v>
      </c>
      <c r="V31" s="1">
        <v>79.400000000000006</v>
      </c>
      <c r="W31" s="1">
        <v>133.4</v>
      </c>
      <c r="X31" s="1">
        <v>160.9</v>
      </c>
      <c r="Y31" s="1">
        <v>65.900000000000006</v>
      </c>
      <c r="Z31" s="1">
        <v>79.400000000000006</v>
      </c>
      <c r="AA31" s="1">
        <v>79.400000000000006</v>
      </c>
      <c r="AB31" s="47">
        <v>45157</v>
      </c>
    </row>
    <row r="32" spans="7:28" x14ac:dyDescent="0.3">
      <c r="G32" s="1" t="s">
        <v>5</v>
      </c>
      <c r="H32" s="24">
        <v>0</v>
      </c>
      <c r="I32" s="1" t="s">
        <v>6</v>
      </c>
      <c r="J32" s="24">
        <v>0.99998842592592596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1">
        <v>-1</v>
      </c>
      <c r="Y32" s="1">
        <v>-1</v>
      </c>
      <c r="Z32" s="1">
        <v>-1</v>
      </c>
      <c r="AA32" s="1">
        <v>-1</v>
      </c>
      <c r="AB32" s="47">
        <v>45143</v>
      </c>
    </row>
    <row r="33" spans="7:28" x14ac:dyDescent="0.3">
      <c r="G33" s="1" t="s">
        <v>5</v>
      </c>
      <c r="H33" s="24">
        <v>0</v>
      </c>
      <c r="I33" s="1" t="s">
        <v>6</v>
      </c>
      <c r="J33" s="24">
        <v>0.99998842592592596</v>
      </c>
      <c r="K33" s="1">
        <v>41.5</v>
      </c>
      <c r="L33" s="1">
        <v>61.4</v>
      </c>
      <c r="M33" s="1">
        <v>75</v>
      </c>
      <c r="N33" s="1">
        <v>-1</v>
      </c>
      <c r="O33" s="1">
        <v>-1</v>
      </c>
      <c r="P33" s="1">
        <v>-1</v>
      </c>
      <c r="Q33" s="1">
        <v>84.6</v>
      </c>
      <c r="R33" s="1">
        <v>124.4</v>
      </c>
      <c r="S33" s="1">
        <v>151.5</v>
      </c>
      <c r="T33" s="1">
        <v>41.5</v>
      </c>
      <c r="U33" s="1">
        <v>61.4</v>
      </c>
      <c r="V33" s="1">
        <v>75</v>
      </c>
      <c r="W33" s="1">
        <v>124.4</v>
      </c>
      <c r="X33" s="1">
        <v>151.5</v>
      </c>
      <c r="Y33" s="1">
        <v>61.4</v>
      </c>
      <c r="Z33" s="1">
        <v>75</v>
      </c>
      <c r="AA33" s="1">
        <v>75</v>
      </c>
      <c r="AB33" s="47">
        <v>45166</v>
      </c>
    </row>
    <row r="34" spans="7:28" x14ac:dyDescent="0.3">
      <c r="G34" s="1" t="s">
        <v>5</v>
      </c>
      <c r="H34" s="24">
        <v>0</v>
      </c>
      <c r="I34" s="1" t="s">
        <v>6</v>
      </c>
      <c r="J34" s="24">
        <v>0.99998842592592596</v>
      </c>
      <c r="K34" s="1">
        <v>43.3</v>
      </c>
      <c r="L34" s="1">
        <v>63.6</v>
      </c>
      <c r="M34" s="1">
        <v>79.400000000000006</v>
      </c>
      <c r="N34" s="1">
        <v>-1</v>
      </c>
      <c r="O34" s="1">
        <v>-1</v>
      </c>
      <c r="P34" s="1">
        <v>-1</v>
      </c>
      <c r="Q34" s="1">
        <v>87.6</v>
      </c>
      <c r="R34" s="1">
        <v>128.6</v>
      </c>
      <c r="S34" s="1">
        <v>160.9</v>
      </c>
      <c r="T34" s="1">
        <v>43.3</v>
      </c>
      <c r="U34" s="1">
        <v>63.6</v>
      </c>
      <c r="V34" s="1">
        <v>79.400000000000006</v>
      </c>
      <c r="W34" s="1">
        <v>128.6</v>
      </c>
      <c r="X34" s="1">
        <v>160.9</v>
      </c>
      <c r="Y34" s="1">
        <v>63.6</v>
      </c>
      <c r="Z34" s="1">
        <v>79.400000000000006</v>
      </c>
      <c r="AA34" s="1">
        <v>79.400000000000006</v>
      </c>
      <c r="AB34" s="47">
        <v>45162</v>
      </c>
    </row>
    <row r="35" spans="7:28" x14ac:dyDescent="0.3">
      <c r="G35" s="1" t="s">
        <v>5</v>
      </c>
      <c r="H35" s="24">
        <v>0</v>
      </c>
      <c r="I35" s="1" t="s">
        <v>6</v>
      </c>
      <c r="J35" s="24">
        <v>0.99998842592592596</v>
      </c>
      <c r="K35" s="1">
        <v>44.5</v>
      </c>
      <c r="L35" s="1">
        <v>65.900000000000006</v>
      </c>
      <c r="M35" s="1">
        <v>81.8</v>
      </c>
      <c r="N35" s="1">
        <v>-1</v>
      </c>
      <c r="O35" s="1">
        <v>-1</v>
      </c>
      <c r="P35" s="1">
        <v>-1</v>
      </c>
      <c r="Q35" s="1">
        <v>89.9</v>
      </c>
      <c r="R35" s="1">
        <v>133.4</v>
      </c>
      <c r="S35" s="1">
        <v>165.3</v>
      </c>
      <c r="T35" s="1">
        <v>44.5</v>
      </c>
      <c r="U35" s="1">
        <v>65.900000000000006</v>
      </c>
      <c r="V35" s="1">
        <v>81.8</v>
      </c>
      <c r="W35" s="1">
        <v>133.4</v>
      </c>
      <c r="X35" s="1">
        <v>165.3</v>
      </c>
      <c r="Y35" s="1">
        <v>65.900000000000006</v>
      </c>
      <c r="Z35" s="1">
        <v>81.8</v>
      </c>
      <c r="AA35" s="1">
        <v>81.8</v>
      </c>
      <c r="AB35" s="47">
        <v>45160</v>
      </c>
    </row>
    <row r="36" spans="7:28" x14ac:dyDescent="0.3">
      <c r="G36" s="1" t="s">
        <v>5</v>
      </c>
      <c r="H36" s="24">
        <v>0</v>
      </c>
      <c r="I36" s="1" t="s">
        <v>6</v>
      </c>
      <c r="J36" s="24">
        <v>0.99998842592592596</v>
      </c>
      <c r="K36" s="1">
        <v>47.3</v>
      </c>
      <c r="L36" s="1">
        <v>70.400000000000006</v>
      </c>
      <c r="M36" s="1">
        <v>86.4</v>
      </c>
      <c r="N36" s="1">
        <v>-1</v>
      </c>
      <c r="O36" s="1">
        <v>-1</v>
      </c>
      <c r="P36" s="1">
        <v>-1</v>
      </c>
      <c r="Q36" s="1">
        <v>95.6</v>
      </c>
      <c r="R36" s="1">
        <v>142.5</v>
      </c>
      <c r="S36" s="1">
        <v>174.2</v>
      </c>
      <c r="T36" s="1">
        <v>47.3</v>
      </c>
      <c r="U36" s="1">
        <v>70.400000000000006</v>
      </c>
      <c r="V36" s="1">
        <v>86.4</v>
      </c>
      <c r="W36" s="1">
        <v>142.5</v>
      </c>
      <c r="X36" s="1">
        <v>174.2</v>
      </c>
      <c r="Y36" s="1">
        <v>70.400000000000006</v>
      </c>
      <c r="Z36" s="1">
        <v>86.4</v>
      </c>
      <c r="AA36" s="1">
        <v>86.4</v>
      </c>
      <c r="AB36" s="47">
        <v>45179</v>
      </c>
    </row>
    <row r="37" spans="7:28" x14ac:dyDescent="0.3">
      <c r="G37" s="1" t="s">
        <v>5</v>
      </c>
      <c r="H37" s="24">
        <v>0</v>
      </c>
      <c r="I37" s="1" t="s">
        <v>6</v>
      </c>
      <c r="J37" s="24">
        <v>0.99998842592592596</v>
      </c>
      <c r="K37" s="1">
        <v>48.3</v>
      </c>
      <c r="L37" s="1">
        <v>72</v>
      </c>
      <c r="M37" s="1">
        <v>89</v>
      </c>
      <c r="N37" s="1">
        <v>-1</v>
      </c>
      <c r="O37" s="1">
        <v>-1</v>
      </c>
      <c r="P37" s="1">
        <v>-1</v>
      </c>
      <c r="Q37" s="1">
        <v>97.9</v>
      </c>
      <c r="R37" s="1">
        <v>145.5</v>
      </c>
      <c r="S37" s="1">
        <v>179.8</v>
      </c>
      <c r="T37" s="1">
        <v>48.3</v>
      </c>
      <c r="U37" s="1">
        <v>72</v>
      </c>
      <c r="V37" s="1">
        <v>89</v>
      </c>
      <c r="W37" s="1">
        <v>145.5</v>
      </c>
      <c r="X37" s="1">
        <v>179.8</v>
      </c>
      <c r="Y37" s="1">
        <v>72</v>
      </c>
      <c r="Z37" s="1">
        <v>89</v>
      </c>
      <c r="AA37" s="1">
        <v>89</v>
      </c>
      <c r="AB37" s="47">
        <v>45157</v>
      </c>
    </row>
    <row r="38" spans="7:28" x14ac:dyDescent="0.3">
      <c r="G38" s="1" t="s">
        <v>5</v>
      </c>
      <c r="H38" s="24">
        <v>0</v>
      </c>
      <c r="I38" s="1" t="s">
        <v>6</v>
      </c>
      <c r="J38" s="24">
        <v>0.99998842592592596</v>
      </c>
      <c r="K38" s="1">
        <v>49.1</v>
      </c>
      <c r="L38" s="1">
        <v>72.8</v>
      </c>
      <c r="M38" s="1">
        <v>90.9</v>
      </c>
      <c r="N38" s="1">
        <v>-1</v>
      </c>
      <c r="O38" s="1">
        <v>-1</v>
      </c>
      <c r="P38" s="1">
        <v>-1</v>
      </c>
      <c r="Q38" s="1">
        <v>99.5</v>
      </c>
      <c r="R38" s="1">
        <v>146.80000000000001</v>
      </c>
      <c r="S38" s="1">
        <v>183.5</v>
      </c>
      <c r="T38" s="1">
        <v>49.1</v>
      </c>
      <c r="U38" s="1">
        <v>72.8</v>
      </c>
      <c r="V38" s="1">
        <v>90.9</v>
      </c>
      <c r="W38" s="1">
        <v>146.80000000000001</v>
      </c>
      <c r="X38" s="1">
        <v>183.5</v>
      </c>
      <c r="Y38" s="1">
        <v>72.8</v>
      </c>
      <c r="Z38" s="1">
        <v>90.9</v>
      </c>
      <c r="AA38" s="1">
        <v>90.9</v>
      </c>
      <c r="AB38" s="47">
        <v>45143</v>
      </c>
    </row>
    <row r="39" spans="7:28" x14ac:dyDescent="0.3">
      <c r="G39" s="1" t="s">
        <v>5</v>
      </c>
      <c r="H39" s="24">
        <v>0</v>
      </c>
      <c r="I39" s="1" t="s">
        <v>6</v>
      </c>
      <c r="J39" s="24">
        <v>0.99998842592592596</v>
      </c>
      <c r="K39" s="1">
        <v>50.6</v>
      </c>
      <c r="L39" s="1">
        <v>75</v>
      </c>
      <c r="M39" s="1">
        <v>93.1</v>
      </c>
      <c r="N39" s="1">
        <v>-1</v>
      </c>
      <c r="O39" s="1">
        <v>-1</v>
      </c>
      <c r="P39" s="1">
        <v>-1</v>
      </c>
      <c r="Q39" s="1">
        <v>102.6</v>
      </c>
      <c r="R39" s="1">
        <v>151.5</v>
      </c>
      <c r="S39" s="1">
        <v>188.1</v>
      </c>
      <c r="T39" s="1">
        <v>50.6</v>
      </c>
      <c r="U39" s="1">
        <v>75</v>
      </c>
      <c r="V39" s="1">
        <v>93.1</v>
      </c>
      <c r="W39" s="1">
        <v>151.5</v>
      </c>
      <c r="X39" s="1">
        <v>188.1</v>
      </c>
      <c r="Y39" s="1">
        <v>75</v>
      </c>
      <c r="Z39" s="1">
        <v>93.1</v>
      </c>
      <c r="AA39" s="1">
        <v>93.1</v>
      </c>
      <c r="AB39" s="47">
        <v>45166</v>
      </c>
    </row>
    <row r="40" spans="7:28" x14ac:dyDescent="0.3">
      <c r="G40" s="1" t="s">
        <v>5</v>
      </c>
      <c r="H40" s="24">
        <v>0</v>
      </c>
      <c r="I40" s="1" t="s">
        <v>6</v>
      </c>
      <c r="J40" s="24">
        <v>0.99998842592592596</v>
      </c>
      <c r="K40" s="1">
        <v>51.8</v>
      </c>
      <c r="L40" s="1">
        <v>77.2</v>
      </c>
      <c r="M40" s="1">
        <v>93.1</v>
      </c>
      <c r="N40" s="1">
        <v>-1</v>
      </c>
      <c r="O40" s="1">
        <v>-1</v>
      </c>
      <c r="P40" s="1">
        <v>-1</v>
      </c>
      <c r="Q40" s="1">
        <v>104.5</v>
      </c>
      <c r="R40" s="1">
        <v>156.4</v>
      </c>
      <c r="S40" s="1">
        <v>188.1</v>
      </c>
      <c r="T40" s="1">
        <v>51.8</v>
      </c>
      <c r="U40" s="1">
        <v>77.2</v>
      </c>
      <c r="V40" s="1">
        <v>93.1</v>
      </c>
      <c r="W40" s="1">
        <v>156.4</v>
      </c>
      <c r="X40" s="1">
        <v>188.1</v>
      </c>
      <c r="Y40" s="1">
        <v>77.2</v>
      </c>
      <c r="Z40" s="1">
        <v>93.1</v>
      </c>
      <c r="AA40" s="1">
        <v>93.1</v>
      </c>
      <c r="AB40" s="47">
        <v>45162</v>
      </c>
    </row>
  </sheetData>
  <conditionalFormatting sqref="G1:AB1 G2:G40 I2:AB40">
    <cfRule type="cellIs" dxfId="1" priority="1" operator="equal">
      <formula>0</formula>
    </cfRule>
    <cfRule type="cellIs" dxfId="0" priority="2" operator="equal">
      <formula>-1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I17" sqref="I17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2" customFormat="1" ht="21" x14ac:dyDescent="0.4">
      <c r="A1" s="43" t="s">
        <v>55</v>
      </c>
      <c r="B1" s="42" t="s">
        <v>163</v>
      </c>
    </row>
    <row r="2" spans="1:7" s="42" customFormat="1" ht="21" x14ac:dyDescent="0.4">
      <c r="B2" s="42" t="s">
        <v>160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161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VLOOKUP(Task_2!A6,Dataset!A1:G40,7,0)</f>
        <v>2.7</v>
      </c>
      <c r="C6" s="12">
        <f>VLOOKUP(A6,Dataset!A1:H40,8,0)</f>
        <v>3.6</v>
      </c>
      <c r="D6" s="12">
        <f>VLOOKUP(A6,Dataset!A1:P40,16,0)</f>
        <v>2.7</v>
      </c>
      <c r="E6" s="12">
        <f>VLOOKUP(Task_2!A6,Dataset!A1:T40,20,0)</f>
        <v>8.9</v>
      </c>
      <c r="F6" s="8">
        <f>VLOOKUP(A6,Dataset!A1:V40,22,0)</f>
        <v>4.2</v>
      </c>
    </row>
    <row r="7" spans="1:7" ht="14.4" x14ac:dyDescent="0.3">
      <c r="A7" s="7" t="s">
        <v>4</v>
      </c>
      <c r="B7" s="12">
        <f>VLOOKUP(Task_2!A7,Dataset!A2:G41,7,0)</f>
        <v>2.7</v>
      </c>
      <c r="C7" s="12">
        <f>VLOOKUP(A7,Dataset!A2:H41,8,0)</f>
        <v>3.6</v>
      </c>
      <c r="D7" s="12">
        <f>VLOOKUP(A7,Dataset!A2:P41,16,0)</f>
        <v>2.7</v>
      </c>
      <c r="E7" s="12">
        <f>VLOOKUP(Task_2!A7,Dataset!A2:T41,20,0)</f>
        <v>8.9</v>
      </c>
      <c r="F7" s="8">
        <f>VLOOKUP(A7,Dataset!A2:V41,22,0)</f>
        <v>4.2</v>
      </c>
    </row>
    <row r="8" spans="1:7" ht="14.4" x14ac:dyDescent="0.3">
      <c r="A8" s="7" t="s">
        <v>7</v>
      </c>
      <c r="B8" s="12">
        <f>VLOOKUP(Task_2!A8,Dataset!A3:G42,7,0)</f>
        <v>3.6</v>
      </c>
      <c r="C8" s="12">
        <f>VLOOKUP(A8,Dataset!A3:H42,8,0)</f>
        <v>5.4</v>
      </c>
      <c r="D8" s="12">
        <f>VLOOKUP(A8,Dataset!A3:P42,16,0)</f>
        <v>3.6</v>
      </c>
      <c r="E8" s="12">
        <f>VLOOKUP(Task_2!A8,Dataset!A3:T42,20,0)</f>
        <v>12.2</v>
      </c>
      <c r="F8" s="8">
        <f>VLOOKUP(A8,Dataset!A3:V42,22,0)</f>
        <v>5.8</v>
      </c>
    </row>
    <row r="9" spans="1:7" ht="14.4" x14ac:dyDescent="0.3">
      <c r="A9" s="7" t="s">
        <v>8</v>
      </c>
      <c r="B9" s="12">
        <f>VLOOKUP(Task_2!A9,Dataset!A4:G43,7,0)</f>
        <v>4.9000000000000004</v>
      </c>
      <c r="C9" s="12">
        <f>VLOOKUP(A9,Dataset!A4:H43,8,0)</f>
        <v>6.6</v>
      </c>
      <c r="D9" s="12">
        <f>VLOOKUP(A9,Dataset!A4:P43,16,0)</f>
        <v>4.9000000000000004</v>
      </c>
      <c r="E9" s="12">
        <f>VLOOKUP(Task_2!A9,Dataset!A4:T43,20,0)</f>
        <v>17</v>
      </c>
      <c r="F9" s="8">
        <f>VLOOKUP(A9,Dataset!A4:V43,22,0)</f>
        <v>8.1</v>
      </c>
    </row>
    <row r="10" spans="1:7" ht="14.4" x14ac:dyDescent="0.3">
      <c r="A10" s="7" t="s">
        <v>11</v>
      </c>
      <c r="B10" s="12">
        <f>VLOOKUP(Task_2!A10,Dataset!A5:G44,7,0)</f>
        <v>9.4</v>
      </c>
      <c r="C10" s="12">
        <f>VLOOKUP(A10,Dataset!A5:H44,8,0)</f>
        <v>13.8</v>
      </c>
      <c r="D10" s="12">
        <f>VLOOKUP(A10,Dataset!A5:P44,16,0)</f>
        <v>9.4</v>
      </c>
      <c r="E10" s="12">
        <f>VLOOKUP(Task_2!A10,Dataset!A5:T44,20,0)</f>
        <v>32.799999999999997</v>
      </c>
      <c r="F10" s="8">
        <f>VLOOKUP(A10,Dataset!A5:V44,22,0)</f>
        <v>16.100000000000001</v>
      </c>
    </row>
    <row r="11" spans="1:7" ht="14.4" x14ac:dyDescent="0.3">
      <c r="A11" s="7" t="s">
        <v>12</v>
      </c>
      <c r="B11" s="12">
        <f>VLOOKUP(Task_2!A11,Dataset!A6:G45,7,0)</f>
        <v>11.6</v>
      </c>
      <c r="C11" s="12">
        <f>VLOOKUP(A11,Dataset!A6:H45,8,0)</f>
        <v>17.3</v>
      </c>
      <c r="D11" s="12">
        <f>VLOOKUP(A11,Dataset!A6:P45,16,0)</f>
        <v>11.6</v>
      </c>
      <c r="E11" s="12">
        <f>VLOOKUP(Task_2!A11,Dataset!A6:T45,20,0)</f>
        <v>43</v>
      </c>
      <c r="F11" s="8">
        <f>VLOOKUP(A11,Dataset!A6:V45,22,0)</f>
        <v>21.3</v>
      </c>
    </row>
    <row r="12" spans="1:7" ht="14.4" x14ac:dyDescent="0.3">
      <c r="A12" s="7" t="s">
        <v>14</v>
      </c>
      <c r="B12" s="12">
        <f>VLOOKUP(Task_2!A12,Dataset!A7:G46,7,0)</f>
        <v>18.399999999999999</v>
      </c>
      <c r="C12" s="12">
        <f>VLOOKUP(A12,Dataset!A7:H46,8,0)</f>
        <v>27.5</v>
      </c>
      <c r="D12" s="12">
        <f>VLOOKUP(A12,Dataset!A7:P46,16,0)</f>
        <v>18.399999999999999</v>
      </c>
      <c r="E12" s="12">
        <f>VLOOKUP(Task_2!A12,Dataset!A7:T46,20,0)</f>
        <v>67.900000000000006</v>
      </c>
      <c r="F12" s="8">
        <f>VLOOKUP(A12,Dataset!A7:V46,22,0)</f>
        <v>33.799999999999997</v>
      </c>
    </row>
    <row r="13" spans="1:7" ht="14.4" x14ac:dyDescent="0.3">
      <c r="A13" s="7" t="s">
        <v>15</v>
      </c>
      <c r="B13" s="12">
        <f>VLOOKUP(Task_2!A13,Dataset!A8:G47,7,0)</f>
        <v>0</v>
      </c>
      <c r="C13" s="12">
        <f>VLOOKUP(A13,Dataset!A8:H47,8,0)</f>
        <v>0</v>
      </c>
      <c r="D13" s="12">
        <f>VLOOKUP(A13,Dataset!A8:P47,16,0)</f>
        <v>0</v>
      </c>
      <c r="E13" s="12">
        <f>VLOOKUP(Task_2!A13,Dataset!A8:T47,20,0)</f>
        <v>0</v>
      </c>
      <c r="F13" s="8">
        <f>VLOOKUP(A13,Dataset!A8:V47,22,0)</f>
        <v>0</v>
      </c>
    </row>
    <row r="14" spans="1:7" ht="14.4" x14ac:dyDescent="0.3">
      <c r="A14" s="7" t="s">
        <v>16</v>
      </c>
      <c r="B14" s="12">
        <f>VLOOKUP(Task_2!A14,Dataset!A9:G48,7,0)</f>
        <v>21.9</v>
      </c>
      <c r="C14" s="12">
        <f>VLOOKUP(A14,Dataset!A9:H48,8,0)</f>
        <v>32.1</v>
      </c>
      <c r="D14" s="12">
        <f>VLOOKUP(A14,Dataset!A9:P48,16,0)</f>
        <v>21.9</v>
      </c>
      <c r="E14" s="12">
        <f>VLOOKUP(Task_2!A14,Dataset!A9:T48,20,0)</f>
        <v>76.599999999999994</v>
      </c>
      <c r="F14" s="8">
        <f>VLOOKUP(A14,Dataset!A9:V48,22,0)</f>
        <v>40.1</v>
      </c>
    </row>
    <row r="15" spans="1:7" ht="14.4" x14ac:dyDescent="0.3">
      <c r="A15" s="7" t="s">
        <v>18</v>
      </c>
      <c r="B15" s="12">
        <f>VLOOKUP(Task_2!A15,Dataset!A10:G49,7,0)</f>
        <v>26.8</v>
      </c>
      <c r="C15" s="12">
        <f>VLOOKUP(A15,Dataset!A10:H49,8,0)</f>
        <v>39.299999999999997</v>
      </c>
      <c r="D15" s="12">
        <f>VLOOKUP(A15,Dataset!A10:P49,16,0)</f>
        <v>26.8</v>
      </c>
      <c r="E15" s="12">
        <f>VLOOKUP(Task_2!A15,Dataset!A10:T49,20,0)</f>
        <v>96.8</v>
      </c>
      <c r="F15" s="8">
        <f>VLOOKUP(A15,Dataset!A10:V49,22,0)</f>
        <v>47.9</v>
      </c>
    </row>
    <row r="16" spans="1:7" ht="14.4" x14ac:dyDescent="0.3">
      <c r="A16" s="7" t="s">
        <v>20</v>
      </c>
      <c r="B16" s="12">
        <f>VLOOKUP(Task_2!A16,Dataset!A11:G50,7,0)</f>
        <v>28.5</v>
      </c>
      <c r="C16" s="12">
        <f>VLOOKUP(A16,Dataset!A11:H50,8,0)</f>
        <v>42.3</v>
      </c>
      <c r="D16" s="12">
        <f>VLOOKUP(A16,Dataset!A11:P50,16,0)</f>
        <v>28.5</v>
      </c>
      <c r="E16" s="12">
        <f>VLOOKUP(Task_2!A16,Dataset!A11:T50,20,0)</f>
        <v>106.1</v>
      </c>
      <c r="F16" s="8">
        <f>VLOOKUP(A16,Dataset!A11:V50,22,0)</f>
        <v>52.3</v>
      </c>
    </row>
    <row r="17" spans="1:6" ht="14.4" x14ac:dyDescent="0.3">
      <c r="A17" s="7" t="s">
        <v>22</v>
      </c>
      <c r="B17" s="12">
        <f>VLOOKUP(Task_2!A17,Dataset!A12:G51,7,0)</f>
        <v>30.7</v>
      </c>
      <c r="C17" s="12">
        <f>VLOOKUP(A17,Dataset!A12:H51,8,0)</f>
        <v>45.5</v>
      </c>
      <c r="D17" s="12">
        <f>VLOOKUP(A17,Dataset!A12:P51,16,0)</f>
        <v>30.7</v>
      </c>
      <c r="E17" s="12">
        <f>VLOOKUP(Task_2!A17,Dataset!A12:T51,20,0)</f>
        <v>115.1</v>
      </c>
      <c r="F17" s="8">
        <f>VLOOKUP(A17,Dataset!A12:V51,22,0)</f>
        <v>57</v>
      </c>
    </row>
    <row r="18" spans="1:6" ht="14.4" x14ac:dyDescent="0.3">
      <c r="A18" s="7" t="s">
        <v>23</v>
      </c>
      <c r="B18" s="12">
        <f>VLOOKUP(Task_2!A18,Dataset!A13:G52,7,0)</f>
        <v>33.799999999999997</v>
      </c>
      <c r="C18" s="12">
        <f>VLOOKUP(A18,Dataset!A13:H52,8,0)</f>
        <v>50.1</v>
      </c>
      <c r="D18" s="12">
        <f>VLOOKUP(A18,Dataset!A13:P52,16,0)</f>
        <v>33.799999999999997</v>
      </c>
      <c r="E18" s="12">
        <f>VLOOKUP(Task_2!A18,Dataset!A13:T52,20,0)</f>
        <v>124.4</v>
      </c>
      <c r="F18" s="8">
        <f>VLOOKUP(A18,Dataset!A13:V52,22,0)</f>
        <v>61.4</v>
      </c>
    </row>
    <row r="19" spans="1:6" ht="14.4" x14ac:dyDescent="0.3">
      <c r="A19" s="7" t="s">
        <v>24</v>
      </c>
      <c r="B19" s="12">
        <f>VLOOKUP(Task_2!A19,Dataset!A14:G53,7,0)</f>
        <v>34.700000000000003</v>
      </c>
      <c r="C19" s="12">
        <f>VLOOKUP(A19,Dataset!A14:H53,8,0)</f>
        <v>52.3</v>
      </c>
      <c r="D19" s="12">
        <f>VLOOKUP(A19,Dataset!A14:P53,16,0)</f>
        <v>34.700000000000003</v>
      </c>
      <c r="E19" s="12">
        <f>VLOOKUP(Task_2!A19,Dataset!A14:T53,20,0)</f>
        <v>128.6</v>
      </c>
      <c r="F19" s="8">
        <f>VLOOKUP(A19,Dataset!A14:V53,22,0)</f>
        <v>63.6</v>
      </c>
    </row>
    <row r="20" spans="1:6" ht="14.4" x14ac:dyDescent="0.3">
      <c r="A20" s="7" t="s">
        <v>28</v>
      </c>
      <c r="B20" s="12">
        <f>VLOOKUP(Task_2!A20,Dataset!A15:G54,7,0)</f>
        <v>0</v>
      </c>
      <c r="C20" s="12">
        <f>VLOOKUP(A20,Dataset!A15:H54,8,0)</f>
        <v>0</v>
      </c>
      <c r="D20" s="12">
        <f>VLOOKUP(A20,Dataset!A15:P54,16,0)</f>
        <v>0</v>
      </c>
      <c r="E20" s="12">
        <f>VLOOKUP(Task_2!A20,Dataset!A15:T54,20,0)</f>
        <v>0</v>
      </c>
      <c r="F20" s="8">
        <f>VLOOKUP(A20,Dataset!A15:V54,22,0)</f>
        <v>0</v>
      </c>
    </row>
    <row r="21" spans="1:6" ht="14.4" x14ac:dyDescent="0.3">
      <c r="A21" s="7" t="s">
        <v>57</v>
      </c>
      <c r="B21" s="12">
        <f>VLOOKUP(Task_2!A21,Dataset!A16:G55,7,0)</f>
        <v>41.3</v>
      </c>
      <c r="C21" s="12">
        <f>VLOOKUP(A21,Dataset!A16:H55,8,0)</f>
        <v>61.4</v>
      </c>
      <c r="D21" s="12">
        <f>VLOOKUP(A21,Dataset!A16:P55,16,0)</f>
        <v>41.3</v>
      </c>
      <c r="E21" s="12">
        <f>VLOOKUP(Task_2!A21,Dataset!A16:T55,20,0)</f>
        <v>151.5</v>
      </c>
      <c r="F21" s="8">
        <f>VLOOKUP(A21,Dataset!A16:V55,22,0)</f>
        <v>75</v>
      </c>
    </row>
    <row r="22" spans="1:6" ht="14.4" x14ac:dyDescent="0.3">
      <c r="A22" s="7" t="s">
        <v>58</v>
      </c>
      <c r="B22" s="12">
        <f>VLOOKUP(Task_2!A22,Dataset!A17:G56,7,0)</f>
        <v>-1</v>
      </c>
      <c r="C22" s="12">
        <f>VLOOKUP(A22,Dataset!A17:H56,8,0)</f>
        <v>-1</v>
      </c>
      <c r="D22" s="12">
        <f>VLOOKUP(A22,Dataset!A17:P56,16,0)</f>
        <v>-1</v>
      </c>
      <c r="E22" s="12">
        <f>VLOOKUP(Task_2!A22,Dataset!A17:T56,20,0)</f>
        <v>-1</v>
      </c>
      <c r="F22" s="8">
        <f>VLOOKUP(A22,Dataset!A17:V56,22,0)</f>
        <v>-1</v>
      </c>
    </row>
    <row r="23" spans="1:6" ht="14.4" x14ac:dyDescent="0.3">
      <c r="A23" s="7" t="s">
        <v>31</v>
      </c>
      <c r="B23" s="12">
        <f>VLOOKUP(Task_2!A23,Dataset!A18:G57,7,0)</f>
        <v>45</v>
      </c>
      <c r="C23" s="12">
        <f>VLOOKUP(A23,Dataset!A18:H57,8,0)</f>
        <v>65.900000000000006</v>
      </c>
      <c r="D23" s="12">
        <f>VLOOKUP(A23,Dataset!A18:P57,16,0)</f>
        <v>45</v>
      </c>
      <c r="E23" s="12">
        <f>VLOOKUP(Task_2!A23,Dataset!A18:T57,20,0)</f>
        <v>160.9</v>
      </c>
      <c r="F23" s="8">
        <f>VLOOKUP(A23,Dataset!A18:V57,22,0)</f>
        <v>79.400000000000006</v>
      </c>
    </row>
    <row r="24" spans="1:6" ht="14.4" x14ac:dyDescent="0.3">
      <c r="A24" s="7" t="s">
        <v>32</v>
      </c>
      <c r="B24" s="12">
        <f>VLOOKUP(Task_2!A24,Dataset!A19:G58,7,0)</f>
        <v>-1</v>
      </c>
      <c r="C24" s="12">
        <f>VLOOKUP(A24,Dataset!A19:H58,8,0)</f>
        <v>-1</v>
      </c>
      <c r="D24" s="12">
        <f>VLOOKUP(A24,Dataset!A19:P58,16,0)</f>
        <v>-1</v>
      </c>
      <c r="E24" s="12">
        <f>VLOOKUP(Task_2!A24,Dataset!A19:T58,20,0)</f>
        <v>-1</v>
      </c>
      <c r="F24" s="8">
        <f>VLOOKUP(A24,Dataset!A19:V58,22,0)</f>
        <v>-1</v>
      </c>
    </row>
    <row r="25" spans="1:6" ht="14.4" x14ac:dyDescent="0.3">
      <c r="A25" s="7" t="s">
        <v>34</v>
      </c>
      <c r="B25" s="12">
        <f>VLOOKUP(Task_2!A25,Dataset!A20:G59,7,0)</f>
        <v>43.3</v>
      </c>
      <c r="C25" s="12">
        <f>VLOOKUP(A25,Dataset!A20:H59,8,0)</f>
        <v>63.6</v>
      </c>
      <c r="D25" s="12">
        <f>VLOOKUP(A25,Dataset!A20:P59,16,0)</f>
        <v>43.3</v>
      </c>
      <c r="E25" s="12">
        <f>VLOOKUP(Task_2!A25,Dataset!A20:T59,20,0)</f>
        <v>160.9</v>
      </c>
      <c r="F25" s="8">
        <f>VLOOKUP(A25,Dataset!A20:V59,22,0)</f>
        <v>79.400000000000006</v>
      </c>
    </row>
    <row r="26" spans="1:6" ht="14.4" x14ac:dyDescent="0.3">
      <c r="A26" s="7" t="s">
        <v>37</v>
      </c>
      <c r="B26" s="12">
        <f>VLOOKUP(Task_2!A26,Dataset!A21:G60,7,0)</f>
        <v>49.1</v>
      </c>
      <c r="C26" s="12">
        <f>VLOOKUP(A26,Dataset!A21:H60,8,0)</f>
        <v>72.8</v>
      </c>
      <c r="D26" s="12">
        <f>VLOOKUP(A26,Dataset!A21:P60,16,0)</f>
        <v>49.1</v>
      </c>
      <c r="E26" s="12">
        <f>VLOOKUP(Task_2!A26,Dataset!A21:T60,20,0)</f>
        <v>183.5</v>
      </c>
      <c r="F26" s="8">
        <f>VLOOKUP(A26,Dataset!A21:V60,22,0)</f>
        <v>90.9</v>
      </c>
    </row>
    <row r="27" spans="1:6" ht="14.4" x14ac:dyDescent="0.3">
      <c r="A27" s="7" t="s">
        <v>39</v>
      </c>
      <c r="B27" s="12">
        <f>VLOOKUP(Task_2!A27,Dataset!A22:G61,7,0)</f>
        <v>51.8</v>
      </c>
      <c r="C27" s="12">
        <f>VLOOKUP(A27,Dataset!A22:H61,8,0)</f>
        <v>77.2</v>
      </c>
      <c r="D27" s="12">
        <f>VLOOKUP(A27,Dataset!A22:P61,16,0)</f>
        <v>51.8</v>
      </c>
      <c r="E27" s="12">
        <f>VLOOKUP(Task_2!A27,Dataset!A22:T61,20,0)</f>
        <v>188.1</v>
      </c>
      <c r="F27" s="8">
        <f>VLOOKUP(A27,Dataset!A22:V61,22,0)</f>
        <v>93.1</v>
      </c>
    </row>
    <row r="28" spans="1:6" ht="14.4" x14ac:dyDescent="0.3">
      <c r="A28" s="19" t="s">
        <v>82</v>
      </c>
      <c r="B28" s="32">
        <f>MIN(B6:B27)</f>
        <v>-1</v>
      </c>
      <c r="C28" s="32">
        <f>MIN(C6:C27)</f>
        <v>-1</v>
      </c>
      <c r="D28" s="32">
        <f>MIN(D6:D27)</f>
        <v>-1</v>
      </c>
      <c r="E28" s="32">
        <f>MIN(E6:E27)</f>
        <v>-1</v>
      </c>
      <c r="F28" s="32">
        <f>MIN(F6:F27)</f>
        <v>-1</v>
      </c>
    </row>
    <row r="29" spans="1:6" ht="14.4" x14ac:dyDescent="0.3">
      <c r="A29" s="19" t="s">
        <v>83</v>
      </c>
      <c r="B29" s="32">
        <f>MAX(B6:B28)</f>
        <v>51.8</v>
      </c>
      <c r="C29" s="32">
        <f>MAX(C6:C28)</f>
        <v>77.2</v>
      </c>
      <c r="D29" s="32">
        <f>MAX(D6:D28)</f>
        <v>51.8</v>
      </c>
      <c r="E29" s="32">
        <f>MAX(E6:E28)</f>
        <v>188.1</v>
      </c>
      <c r="F29" s="32">
        <f>MAX(F6:F28)</f>
        <v>93.1</v>
      </c>
    </row>
    <row r="30" spans="1:6" ht="14.4" x14ac:dyDescent="0.3">
      <c r="A30" s="19" t="s">
        <v>84</v>
      </c>
      <c r="B30" s="32">
        <f>AVERAGE(B6:B27)</f>
        <v>20.827272727272728</v>
      </c>
      <c r="C30" s="32">
        <f>AVERAGE(C6:C27)</f>
        <v>30.831818181818186</v>
      </c>
      <c r="D30" s="32">
        <f>AVERAGE(D6:D27)</f>
        <v>20.827272727272728</v>
      </c>
      <c r="E30" s="32">
        <f>AVERAGE(E6:E27)</f>
        <v>76.418181818181822</v>
      </c>
      <c r="F30" s="32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I22" sqref="I22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2" customFormat="1" ht="21" x14ac:dyDescent="0.4">
      <c r="A1" s="43" t="s">
        <v>56</v>
      </c>
      <c r="B1" s="42" t="s">
        <v>172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150</v>
      </c>
    </row>
    <row r="5" spans="1:10" ht="18" x14ac:dyDescent="0.35">
      <c r="A5" s="44" t="s">
        <v>53</v>
      </c>
      <c r="B5" s="41" t="s">
        <v>180</v>
      </c>
      <c r="E5" s="1" t="s">
        <v>181</v>
      </c>
    </row>
    <row r="6" spans="1:10" ht="18" x14ac:dyDescent="0.35">
      <c r="A6" s="44" t="s">
        <v>152</v>
      </c>
      <c r="B6" s="41" t="s">
        <v>178</v>
      </c>
    </row>
    <row r="7" spans="1:10" ht="18" x14ac:dyDescent="0.35">
      <c r="A7" s="44"/>
      <c r="B7" s="41" t="s">
        <v>179</v>
      </c>
    </row>
    <row r="9" spans="1:10" ht="23.4" x14ac:dyDescent="0.45">
      <c r="A9" s="18" t="s">
        <v>164</v>
      </c>
      <c r="I9" s="2"/>
      <c r="J9" s="2"/>
    </row>
    <row r="10" spans="1:10" x14ac:dyDescent="0.3">
      <c r="A10" s="34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161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120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121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122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123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124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125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126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127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128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129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130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131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132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133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134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135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136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137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138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139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140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141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142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143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144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145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146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147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148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149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111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112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113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114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115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116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117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118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119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="85" zoomScaleNormal="100" workbookViewId="0">
      <selection activeCell="B7" sqref="B7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3" t="s">
        <v>85</v>
      </c>
      <c r="B1" s="42" t="s">
        <v>165</v>
      </c>
    </row>
    <row r="2" spans="1:3" ht="18" x14ac:dyDescent="0.35">
      <c r="B2" s="41" t="s">
        <v>182</v>
      </c>
    </row>
    <row r="5" spans="1:3" ht="14.4" x14ac:dyDescent="0.3">
      <c r="B5" s="1" t="s">
        <v>150</v>
      </c>
    </row>
    <row r="6" spans="1:3" ht="14.4" x14ac:dyDescent="0.3">
      <c r="A6" s="3" t="s">
        <v>53</v>
      </c>
      <c r="B6" s="1" t="s">
        <v>183</v>
      </c>
    </row>
    <row r="7" spans="1:3" ht="14.4" x14ac:dyDescent="0.3">
      <c r="A7" s="3" t="s">
        <v>152</v>
      </c>
      <c r="B7" s="1" t="s">
        <v>184</v>
      </c>
    </row>
    <row r="10" spans="1:3" ht="23.4" x14ac:dyDescent="0.45">
      <c r="A10" s="18" t="s">
        <v>161</v>
      </c>
    </row>
    <row r="11" spans="1:3" ht="14.4" x14ac:dyDescent="0.3">
      <c r="A11" s="33" t="s">
        <v>86</v>
      </c>
      <c r="B11" s="17" t="s">
        <v>87</v>
      </c>
      <c r="C11" s="17" t="s">
        <v>88</v>
      </c>
    </row>
    <row r="12" spans="1:3" ht="14.4" x14ac:dyDescent="0.3">
      <c r="A12" s="33">
        <v>44927</v>
      </c>
      <c r="B12" s="17" t="s">
        <v>59</v>
      </c>
      <c r="C12" s="17">
        <v>200</v>
      </c>
    </row>
    <row r="13" spans="1:3" ht="14.4" x14ac:dyDescent="0.3">
      <c r="A13" s="33">
        <v>44928</v>
      </c>
      <c r="B13" s="17" t="s">
        <v>60</v>
      </c>
      <c r="C13" s="17">
        <v>20</v>
      </c>
    </row>
    <row r="14" spans="1:3" ht="14.4" x14ac:dyDescent="0.3">
      <c r="A14" s="33">
        <v>44929</v>
      </c>
      <c r="B14" s="17" t="s">
        <v>61</v>
      </c>
      <c r="C14" s="17">
        <v>50</v>
      </c>
    </row>
    <row r="15" spans="1:3" ht="14.4" x14ac:dyDescent="0.3">
      <c r="A15" s="33">
        <v>44930</v>
      </c>
      <c r="B15" s="17" t="s">
        <v>62</v>
      </c>
      <c r="C15" s="17">
        <v>20</v>
      </c>
    </row>
    <row r="16" spans="1:3" ht="14.4" x14ac:dyDescent="0.3">
      <c r="A16" s="33">
        <v>44931</v>
      </c>
      <c r="B16" s="17" t="s">
        <v>63</v>
      </c>
      <c r="C16" s="17">
        <v>10</v>
      </c>
    </row>
    <row r="17" spans="1:3" ht="14.4" x14ac:dyDescent="0.3">
      <c r="A17" s="33">
        <v>44932</v>
      </c>
      <c r="B17" s="17" t="s">
        <v>153</v>
      </c>
      <c r="C17" s="17">
        <v>150</v>
      </c>
    </row>
    <row r="18" spans="1:3" ht="14.4" x14ac:dyDescent="0.3">
      <c r="A18" s="33">
        <v>44933</v>
      </c>
      <c r="B18" s="17" t="s">
        <v>154</v>
      </c>
      <c r="C18" s="17">
        <v>80</v>
      </c>
    </row>
    <row r="19" spans="1:3" ht="14.4" x14ac:dyDescent="0.3">
      <c r="A19" s="33">
        <v>44934</v>
      </c>
      <c r="B19" s="17" t="s">
        <v>155</v>
      </c>
      <c r="C19" s="17">
        <v>20</v>
      </c>
    </row>
    <row r="20" spans="1:3" ht="14.4" x14ac:dyDescent="0.3">
      <c r="A20" s="33">
        <v>44935</v>
      </c>
      <c r="B20" s="17" t="s">
        <v>156</v>
      </c>
      <c r="C20" s="17">
        <v>30</v>
      </c>
    </row>
    <row r="21" spans="1:3" ht="14.4" x14ac:dyDescent="0.3">
      <c r="A21" s="33">
        <v>44936</v>
      </c>
      <c r="B21" s="17" t="s">
        <v>157</v>
      </c>
      <c r="C21" s="17">
        <v>20</v>
      </c>
    </row>
    <row r="22" spans="1:3" ht="14.4" x14ac:dyDescent="0.3">
      <c r="B22" s="17" t="s">
        <v>158</v>
      </c>
      <c r="C22" s="25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6" zoomScale="70" zoomScaleNormal="113" workbookViewId="0">
      <selection activeCell="J28" sqref="J28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3" t="s">
        <v>98</v>
      </c>
      <c r="B1" s="42" t="s">
        <v>173</v>
      </c>
    </row>
    <row r="3" spans="1:14" ht="14.4" x14ac:dyDescent="0.3">
      <c r="B3" s="1" t="s">
        <v>150</v>
      </c>
    </row>
    <row r="4" spans="1:14" ht="18" x14ac:dyDescent="0.35">
      <c r="A4" s="44" t="s">
        <v>53</v>
      </c>
      <c r="B4" s="1"/>
    </row>
    <row r="5" spans="1:14" ht="18" x14ac:dyDescent="0.35">
      <c r="A5" s="44" t="s">
        <v>152</v>
      </c>
      <c r="B5" s="1"/>
    </row>
    <row r="6" spans="1:14" ht="14.4" x14ac:dyDescent="0.3">
      <c r="A6" s="3"/>
      <c r="B6" s="1"/>
    </row>
    <row r="8" spans="1:14" ht="23.4" x14ac:dyDescent="0.45">
      <c r="A8" s="18" t="s">
        <v>161</v>
      </c>
      <c r="M8" s="18" t="s">
        <v>162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166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5" t="str">
        <f>INDEX($A$9:$J$18, MATCH(VLOOKUP(A23,$M$9:$N$18,2,FALSE), $A$10:$A$18, 0), MATCH(VLOOKUP(B23,$M$9:$N$18,2,FALSE), $A$9:$J$9,0))</f>
        <v>B</v>
      </c>
    </row>
    <row r="24" spans="1:14" ht="14.4" x14ac:dyDescent="0.3">
      <c r="A24" s="7">
        <v>10100</v>
      </c>
      <c r="B24" s="12">
        <v>10104</v>
      </c>
      <c r="C24" s="45" t="str">
        <f>INDEX($A$9:$J$18, MATCH(VLOOKUP(A24,$M$9:$N$18,2,FALSE), $A$10:$A$18, 0), MATCH(VLOOKUP(B24,$M$9:$N$18,2,FALSE), $A$9:$J$9,0))</f>
        <v>C</v>
      </c>
    </row>
    <row r="25" spans="1:14" ht="14.4" x14ac:dyDescent="0.3">
      <c r="A25" s="7">
        <v>10108</v>
      </c>
      <c r="B25" s="12">
        <v>10102</v>
      </c>
      <c r="C25" s="45">
        <f t="shared" ref="C24:C35" si="0">INDEX($A$9:$J$18, MATCH(VLOOKUP(A25,$M$9:$N$18,2,FALSE), $A$10:$A$18, 0), MATCH(VLOOKUP(B25,$M$9:$N$18,2,FALSE), $A$9:$J$9,0))</f>
        <v>90</v>
      </c>
    </row>
    <row r="26" spans="1:14" ht="14.4" x14ac:dyDescent="0.3">
      <c r="A26" s="7">
        <v>10100</v>
      </c>
      <c r="B26" s="12">
        <v>10106</v>
      </c>
      <c r="C26" s="45" t="str">
        <f t="shared" si="0"/>
        <v>D</v>
      </c>
    </row>
    <row r="27" spans="1:14" ht="14.4" x14ac:dyDescent="0.3">
      <c r="A27" s="7">
        <v>10108</v>
      </c>
      <c r="B27" s="12">
        <v>10110</v>
      </c>
      <c r="C27" s="45">
        <f t="shared" si="0"/>
        <v>120</v>
      </c>
    </row>
    <row r="28" spans="1:14" ht="14.4" x14ac:dyDescent="0.3">
      <c r="A28" s="7">
        <v>10102</v>
      </c>
      <c r="B28" s="12">
        <v>10104</v>
      </c>
      <c r="C28" s="45">
        <f t="shared" si="0"/>
        <v>-1</v>
      </c>
    </row>
    <row r="29" spans="1:14" ht="14.4" x14ac:dyDescent="0.3">
      <c r="A29" s="7">
        <v>10106</v>
      </c>
      <c r="B29" s="12">
        <v>10108</v>
      </c>
      <c r="C29" s="45">
        <f t="shared" si="0"/>
        <v>130</v>
      </c>
    </row>
    <row r="30" spans="1:14" ht="14.4" x14ac:dyDescent="0.3">
      <c r="A30" s="7">
        <v>10102</v>
      </c>
      <c r="B30" s="12">
        <v>10106</v>
      </c>
      <c r="C30" s="45">
        <f t="shared" si="0"/>
        <v>185</v>
      </c>
    </row>
    <row r="31" spans="1:14" ht="14.4" x14ac:dyDescent="0.3">
      <c r="A31" s="7">
        <v>10110</v>
      </c>
      <c r="B31" s="12">
        <v>10114</v>
      </c>
      <c r="C31" s="45">
        <f t="shared" si="0"/>
        <v>230</v>
      </c>
    </row>
    <row r="32" spans="1:14" ht="14.4" x14ac:dyDescent="0.3">
      <c r="A32" s="7">
        <v>10104</v>
      </c>
      <c r="B32" s="12">
        <v>10106</v>
      </c>
      <c r="C32" s="45">
        <f t="shared" si="0"/>
        <v>90</v>
      </c>
    </row>
    <row r="33" spans="1:3" ht="14.4" x14ac:dyDescent="0.3">
      <c r="A33" s="7">
        <v>10110</v>
      </c>
      <c r="B33" s="12">
        <v>10112</v>
      </c>
      <c r="C33" s="45">
        <f t="shared" si="0"/>
        <v>165</v>
      </c>
    </row>
    <row r="34" spans="1:3" ht="14.4" x14ac:dyDescent="0.3">
      <c r="A34" s="7">
        <v>10100</v>
      </c>
      <c r="B34" s="12">
        <v>10114</v>
      </c>
      <c r="C34" s="45" t="str">
        <f t="shared" si="0"/>
        <v>H</v>
      </c>
    </row>
    <row r="35" spans="1:3" ht="14.4" x14ac:dyDescent="0.3">
      <c r="A35" s="9">
        <v>10112</v>
      </c>
      <c r="B35" s="13">
        <v>10116</v>
      </c>
      <c r="C35" s="45">
        <f t="shared" si="0"/>
        <v>220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Tanmay Mahajan</cp:lastModifiedBy>
  <dcterms:created xsi:type="dcterms:W3CDTF">2015-02-10T17:33:11Z</dcterms:created>
  <dcterms:modified xsi:type="dcterms:W3CDTF">2024-10-24T04:07:53Z</dcterms:modified>
</cp:coreProperties>
</file>